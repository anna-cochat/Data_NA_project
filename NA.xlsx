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<sst xmlns="http://schemas.openxmlformats.org/spreadsheetml/2006/main" count="797" uniqueCount="228">
  <si>
    <t>Country</t>
  </si>
  <si>
    <t>Quality Score</t>
  </si>
  <si>
    <t>SDGi</t>
  </si>
  <si>
    <t>Life Expectancy</t>
  </si>
  <si>
    <t>HDI</t>
  </si>
  <si>
    <t>Per Capita GDP</t>
  </si>
  <si>
    <t>Region</t>
  </si>
  <si>
    <t>Income Group</t>
  </si>
  <si>
    <t>Population (millions)</t>
  </si>
  <si>
    <t>Cropland Footprint</t>
  </si>
  <si>
    <t>Grazing Footprint</t>
  </si>
  <si>
    <t>Forest Product Footprint</t>
  </si>
  <si>
    <t>Fish Footprint</t>
  </si>
  <si>
    <t>Built up land</t>
  </si>
  <si>
    <t>Carbon Footprint</t>
  </si>
  <si>
    <t>Total Ecological Footprint (Production)</t>
  </si>
  <si>
    <t>Total Ecological Footprint (Consumption)</t>
  </si>
  <si>
    <t>Cropland</t>
  </si>
  <si>
    <t>Grazing land</t>
  </si>
  <si>
    <t>Forest land</t>
  </si>
  <si>
    <t>Fishing ground</t>
  </si>
  <si>
    <t xml:space="preserve">Total biocapacity </t>
  </si>
  <si>
    <r>
      <rPr>
        <rFont val="Calibri"/>
        <b/>
        <color rgb="FF000000"/>
        <sz val="11.0"/>
      </rPr>
      <t xml:space="preserve">Ecological </t>
    </r>
    <r>
      <rPr>
        <rFont val="Calibri"/>
        <b/>
        <color rgb="FF000000"/>
        <sz val="11.0"/>
      </rPr>
      <t xml:space="preserve">(Deficit) </t>
    </r>
    <r>
      <rPr>
        <rFont val="Calibri"/>
        <b/>
        <color rgb="FF000000"/>
        <sz val="11.0"/>
      </rPr>
      <t>or Reserve</t>
    </r>
  </si>
  <si>
    <t>Number of Earths required</t>
  </si>
  <si>
    <t>Number of Countries required</t>
  </si>
  <si>
    <t>actual 
Country Overshoot Day 
2018</t>
  </si>
  <si>
    <t>Afghanistan</t>
  </si>
  <si>
    <t>3A</t>
  </si>
  <si>
    <t>Middle East/Central Asia</t>
  </si>
  <si>
    <t>LI</t>
  </si>
  <si>
    <t>Albania</t>
  </si>
  <si>
    <t>Other Europe</t>
  </si>
  <si>
    <t>UM</t>
  </si>
  <si>
    <t>Algeria</t>
  </si>
  <si>
    <t>Africa</t>
  </si>
  <si>
    <t>Angola</t>
  </si>
  <si>
    <t>LM</t>
  </si>
  <si>
    <t>Antigua and Barbuda</t>
  </si>
  <si>
    <t>2B</t>
  </si>
  <si>
    <t>Central America/Caribbean</t>
  </si>
  <si>
    <t>HI</t>
  </si>
  <si>
    <t>Argentina</t>
  </si>
  <si>
    <t>South America</t>
  </si>
  <si>
    <t>Armenia</t>
  </si>
  <si>
    <t>Australia</t>
  </si>
  <si>
    <t>Asia-Pacific</t>
  </si>
  <si>
    <t>Austria</t>
  </si>
  <si>
    <t>EU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</si>
  <si>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</si>
  <si>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</si>
  <si>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</si>
  <si>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</si>
  <si>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</si>
  <si>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</si>
  <si>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</si>
  <si>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</si>
  <si>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2A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</si>
  <si>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</si>
  <si>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</si>
  <si>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</si>
  <si>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</si>
  <si>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</si>
  <si>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</si>
  <si>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</si>
  <si>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</si>
  <si>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</si>
  <si>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</si>
  <si>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</si>
  <si>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</si>
  <si>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</si>
  <si>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</si>
  <si>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</si>
  <si>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</si>
  <si>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</si>
  <si>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</si>
  <si>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</si>
  <si>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</si>
  <si>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</si>
  <si>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</si>
  <si>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Democratic Republic of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</si>
  <si>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</si>
  <si>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</si>
  <si>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</si>
  <si>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</si>
  <si>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</si>
  <si>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</si>
  <si>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</si>
  <si>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</si>
  <si>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-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</si>
  <si>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</si>
  <si>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</si>
  <si>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</si>
  <si>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</si>
  <si>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</si>
  <si>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</si>
  <si>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</si>
  <si>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</si>
  <si>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</si>
  <si>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</si>
  <si>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</si>
  <si>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</si>
  <si>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</si>
  <si>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</si>
  <si>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/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</si>
  <si>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</si>
  <si>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</si>
  <si>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</si>
  <si>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</si>
  <si>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</si>
  <si>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</si>
  <si>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</si>
  <si>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</si>
  <si>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</si>
  <si>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</si>
  <si>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</si>
  <si>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</si>
  <si>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</si>
  <si>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</si>
  <si>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</si>
  <si>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</si>
  <si>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</si>
  <si>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</si>
  <si>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</si>
  <si>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</si>
  <si>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</si>
  <si>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</si>
  <si>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</si>
  <si>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</si>
  <si>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</si>
  <si>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</si>
  <si>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</si>
  <si>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</si>
  <si>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</si>
  <si>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</si>
  <si>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</si>
  <si>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</si>
  <si>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</si>
  <si>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</si>
  <si>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</si>
  <si>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</si>
  <si>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</si>
  <si>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</si>
  <si>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Lithuania</t>
  </si>
  <si>
    <t>Luxembourg</t>
  </si>
  <si>
    <t>Madagascar</t>
  </si>
  <si>
    <t>Malawi</t>
  </si>
  <si>
    <t>Malaysia</t>
  </si>
  <si>
    <t>Mali</t>
  </si>
  <si>
    <t>Malta</t>
  </si>
  <si>
    <t>Martinique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</si>
  <si>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</si>
  <si>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</si>
  <si>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</si>
  <si>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</si>
  <si>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</si>
  <si>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</si>
  <si>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</si>
  <si>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</si>
  <si>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</si>
  <si>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</si>
  <si>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</si>
  <si>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</si>
  <si>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</si>
  <si>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</si>
  <si>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</si>
  <si>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</si>
  <si>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</si>
  <si>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</si>
  <si>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</si>
  <si>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</si>
  <si>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</si>
  <si>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</si>
  <si>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</si>
  <si>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</si>
  <si>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</si>
  <si>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</si>
  <si>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Moldova</t>
  </si>
  <si>
    <t>Republic of North Macedonia</t>
  </si>
  <si>
    <t>Réunion</t>
  </si>
  <si>
    <t>Romania</t>
  </si>
  <si>
    <t>Russian Federation</t>
  </si>
  <si>
    <t>Rwanda</t>
  </si>
  <si>
    <t>Saint Lucia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</si>
  <si>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</si>
  <si>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</si>
  <si>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</si>
  <si>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</si>
  <si>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</si>
  <si>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</si>
  <si>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</si>
  <si>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</si>
  <si>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</si>
  <si>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</si>
  <si>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</si>
  <si>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</si>
  <si>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</si>
  <si>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</si>
  <si>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</si>
  <si>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</si>
  <si>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</si>
  <si>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</si>
  <si>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</si>
  <si>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</si>
  <si>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</si>
  <si>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</si>
  <si>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</si>
  <si>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</si>
  <si>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</si>
  <si>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</si>
  <si>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</si>
  <si>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</si>
  <si>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</si>
  <si>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</si>
  <si>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</si>
  <si>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</si>
  <si>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</si>
  <si>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</si>
  <si>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</si>
  <si>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</si>
  <si>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</si>
  <si>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</si>
  <si>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</si>
  <si>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2C</t>
  </si>
  <si>
    <t>Venezuela, Bolivarian Republic of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</si>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</sst>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mmmm\ d\,\ yyyy"/>
    <numFmt numFmtId="165" formatCode="0.0"/>
    <numFmt numFmtId="166" formatCode="&quot;$&quot;#,##0"/>
    <numFmt numFmtId="167" formatCode="_(* #,##0.0_);_(* \(#,##0.0\);_(* &quot;-&quot;??_);_(@_)"/>
    <numFmt numFmtId="168" formatCode="0.0_);[Red]\(0.0\)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36C09"/>
        <bgColor rgb="FFE36C09"/>
      </patternFill>
    </fill>
    <fill>
      <patternFill patternType="solid">
        <fgColor rgb="FFC00000"/>
        <bgColor rgb="FFC00000"/>
      </patternFill>
    </fill>
    <fill>
      <patternFill patternType="solid">
        <fgColor rgb="FFC2D69B"/>
        <bgColor rgb="FFC2D69B"/>
      </patternFill>
    </fill>
  </fills>
  <borders count="10">
    <border/>
    <border>
      <left style="medium">
        <color rgb="FF000000"/>
      </left>
    </border>
    <border>
      <left/>
      <right/>
      <bottom/>
    </border>
    <border>
      <right style="medium">
        <color rgb="FF000000"/>
      </right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2" fontId="2" numFmtId="2" xfId="0" applyAlignment="1" applyFont="1" applyNumberFormat="1">
      <alignment horizontal="center" vertical="bottom"/>
    </xf>
    <xf borderId="0" fillId="2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3" fontId="2" numFmtId="165" xfId="0" applyAlignment="1" applyFill="1" applyFont="1" applyNumberFormat="1">
      <alignment horizontal="right"/>
    </xf>
    <xf borderId="0" fillId="2" fontId="2" numFmtId="165" xfId="0" applyAlignment="1" applyFont="1" applyNumberFormat="1">
      <alignment horizontal="right"/>
    </xf>
    <xf borderId="0" fillId="4" fontId="2" numFmtId="165" xfId="0" applyAlignment="1" applyFill="1" applyFont="1" applyNumberFormat="1">
      <alignment horizontal="right"/>
    </xf>
    <xf borderId="0" fillId="5" fontId="2" numFmtId="165" xfId="0" applyAlignment="1" applyFill="1" applyFont="1" applyNumberFormat="1">
      <alignment horizontal="right"/>
    </xf>
    <xf borderId="0" fillId="2" fontId="3" numFmtId="168" xfId="0" applyAlignment="1" applyFont="1" applyNumberFormat="1">
      <alignment horizontal="center" vertical="bottom"/>
    </xf>
    <xf borderId="0" fillId="2" fontId="2" numFmtId="164" xfId="0" applyFont="1" applyNumberFormat="1"/>
    <xf borderId="0" fillId="2" fontId="2" numFmtId="167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8" xfId="0" applyAlignment="1" applyFont="1" applyNumberFormat="1">
      <alignment horizontal="center" vertical="bottom"/>
    </xf>
    <xf borderId="0" fillId="0" fontId="2" numFmtId="16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2" numFmtId="1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Font="1" applyNumberFormat="1"/>
    <xf borderId="2" fillId="3" fontId="2" numFmtId="165" xfId="0" applyAlignment="1" applyBorder="1" applyFont="1" applyNumberFormat="1">
      <alignment horizontal="right"/>
    </xf>
    <xf borderId="2" fillId="4" fontId="2" numFmtId="165" xfId="0" applyAlignment="1" applyBorder="1" applyFont="1" applyNumberFormat="1">
      <alignment horizontal="right"/>
    </xf>
    <xf borderId="2" fillId="5" fontId="2" numFmtId="165" xfId="0" applyAlignment="1" applyBorder="1" applyFont="1" applyNumberFormat="1">
      <alignment horizontal="right"/>
    </xf>
    <xf borderId="3" fillId="0" fontId="2" numFmtId="164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 vertical="bottom"/>
    </xf>
    <xf borderId="4" fillId="3" fontId="2" numFmtId="165" xfId="0" applyAlignment="1" applyBorder="1" applyFont="1" applyNumberFormat="1">
      <alignment horizontal="right"/>
    </xf>
    <xf borderId="4" fillId="4" fontId="2" numFmtId="165" xfId="0" applyAlignment="1" applyBorder="1" applyFont="1" applyNumberFormat="1">
      <alignment horizontal="right"/>
    </xf>
    <xf borderId="4" fillId="5" fontId="2" numFmtId="165" xfId="0" applyAlignment="1" applyBorder="1" applyFont="1" applyNumberFormat="1">
      <alignment horizontal="right"/>
    </xf>
    <xf borderId="3" fillId="0" fontId="2" numFmtId="164" xfId="0" applyBorder="1" applyFont="1" applyNumberFormat="1"/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quotePrefix="1" borderId="0" fillId="0" fontId="2" numFmtId="166" xfId="0" applyAlignment="1" applyFont="1" applyNumberFormat="1">
      <alignment horizontal="right" vertical="bottom"/>
    </xf>
    <xf borderId="4" fillId="3" fontId="2" numFmtId="165" xfId="0" applyBorder="1" applyFont="1" applyNumberFormat="1"/>
    <xf borderId="4" fillId="4" fontId="2" numFmtId="165" xfId="0" applyBorder="1" applyFont="1" applyNumberFormat="1"/>
    <xf borderId="4" fillId="5" fontId="2" numFmtId="165" xfId="0" applyBorder="1" applyFont="1" applyNumberFormat="1"/>
    <xf borderId="0" fillId="0" fontId="2" numFmtId="168" xfId="0" applyAlignment="1" applyFont="1" applyNumberFormat="1">
      <alignment vertical="bottom"/>
    </xf>
    <xf borderId="4" fillId="2" fontId="2" numFmtId="165" xfId="0" applyBorder="1" applyFont="1" applyNumberFormat="1"/>
    <xf borderId="5" fillId="2" fontId="2" numFmtId="164" xfId="0" applyBorder="1" applyFont="1" applyNumberFormat="1"/>
    <xf borderId="4" fillId="2" fontId="2" numFmtId="165" xfId="0" applyAlignment="1" applyBorder="1" applyFont="1" applyNumberFormat="1">
      <alignment horizontal="right"/>
    </xf>
    <xf borderId="5" fillId="2" fontId="2" numFmtId="164" xfId="0" applyAlignment="1" applyBorder="1" applyFont="1" applyNumberFormat="1">
      <alignment horizontal="center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7" fillId="0" fontId="2" numFmtId="165" xfId="0" applyAlignment="1" applyBorder="1" applyFont="1" applyNumberFormat="1">
      <alignment horizontal="center" vertical="bottom"/>
    </xf>
    <xf borderId="7" fillId="0" fontId="2" numFmtId="1" xfId="0" applyAlignment="1" applyBorder="1" applyFont="1" applyNumberFormat="1">
      <alignment vertical="bottom"/>
    </xf>
    <xf borderId="7" fillId="0" fontId="2" numFmtId="2" xfId="0" applyAlignment="1" applyBorder="1" applyFont="1" applyNumberFormat="1">
      <alignment horizontal="center" vertical="bottom"/>
    </xf>
    <xf borderId="7" fillId="0" fontId="2" numFmtId="166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vertical="bottom"/>
    </xf>
    <xf borderId="7" fillId="0" fontId="2" numFmtId="167" xfId="0" applyAlignment="1" applyBorder="1" applyFont="1" applyNumberFormat="1">
      <alignment horizontal="right"/>
    </xf>
    <xf borderId="7" fillId="0" fontId="2" numFmtId="165" xfId="0" applyAlignment="1" applyBorder="1" applyFont="1" applyNumberFormat="1">
      <alignment horizontal="right"/>
    </xf>
    <xf borderId="8" fillId="3" fontId="2" numFmtId="165" xfId="0" applyAlignment="1" applyBorder="1" applyFont="1" applyNumberFormat="1">
      <alignment horizontal="right"/>
    </xf>
    <xf borderId="8" fillId="2" fontId="2" numFmtId="165" xfId="0" applyAlignment="1" applyBorder="1" applyFont="1" applyNumberFormat="1">
      <alignment horizontal="right"/>
    </xf>
    <xf borderId="8" fillId="4" fontId="2" numFmtId="165" xfId="0" applyAlignment="1" applyBorder="1" applyFont="1" applyNumberFormat="1">
      <alignment horizontal="right"/>
    </xf>
    <xf borderId="8" fillId="5" fontId="2" numFmtId="165" xfId="0" applyAlignment="1" applyBorder="1" applyFont="1" applyNumberFormat="1">
      <alignment horizontal="right"/>
    </xf>
    <xf borderId="7" fillId="2" fontId="3" numFmtId="168" xfId="0" applyAlignment="1" applyBorder="1" applyFont="1" applyNumberFormat="1">
      <alignment horizontal="center" vertical="bottom"/>
    </xf>
    <xf borderId="9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3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13</v>
      </c>
      <c r="AC1" s="3" t="s">
        <v>21</v>
      </c>
      <c r="AD1" s="2" t="s">
        <v>22</v>
      </c>
      <c r="AE1" s="2" t="s">
        <v>23</v>
      </c>
      <c r="AF1" s="2" t="s">
        <v>24</v>
      </c>
      <c r="AG1" s="4" t="s">
        <v>25</v>
      </c>
    </row>
    <row r="2">
      <c r="A2" s="5" t="s">
        <v>26</v>
      </c>
      <c r="B2" s="6" t="s">
        <v>27</v>
      </c>
      <c r="C2" s="7">
        <v>53.9</v>
      </c>
      <c r="D2" s="8">
        <v>64.486</v>
      </c>
      <c r="E2" s="9">
        <v>0.509</v>
      </c>
      <c r="F2" s="10">
        <v>564.6173825447371</v>
      </c>
      <c r="G2" s="5" t="s">
        <v>28</v>
      </c>
      <c r="H2" s="6" t="s">
        <v>29</v>
      </c>
      <c r="I2" s="11">
        <v>37.171898437499905</v>
      </c>
      <c r="J2" s="12">
        <v>0.139392867173196</v>
      </c>
      <c r="K2" s="12">
        <v>0.15773983101157</v>
      </c>
      <c r="L2" s="12">
        <v>0.0520339273718322</v>
      </c>
      <c r="M2" s="12">
        <v>8.39720159434353E-5</v>
      </c>
      <c r="N2" s="12">
        <v>0.028433397994101</v>
      </c>
      <c r="O2" s="12">
        <v>0.0903031468474439</v>
      </c>
      <c r="P2" s="13">
        <v>0.467987142414086</v>
      </c>
      <c r="Q2" s="14">
        <v>0.269787812494637</v>
      </c>
      <c r="R2" s="14">
        <v>0.16509514169904</v>
      </c>
      <c r="S2" s="14">
        <v>0.0628786314568386</v>
      </c>
      <c r="T2" s="14">
        <v>0.00105956501646205</v>
      </c>
      <c r="U2" s="14">
        <v>0.028433397994101</v>
      </c>
      <c r="V2" s="14">
        <v>0.155000802846612</v>
      </c>
      <c r="W2" s="15">
        <v>0.68225535150769</v>
      </c>
      <c r="X2" s="14">
        <v>0.139392867173196</v>
      </c>
      <c r="Y2" s="14">
        <v>0.15773983101157</v>
      </c>
      <c r="Z2" s="14">
        <v>0.0143768678397281</v>
      </c>
      <c r="AA2" s="14">
        <v>0.0</v>
      </c>
      <c r="AB2" s="14">
        <v>0.028433397994101</v>
      </c>
      <c r="AC2" s="16">
        <v>0.339942964018595</v>
      </c>
      <c r="AD2" s="17">
        <v>-0.34231238748909504</v>
      </c>
      <c r="AE2" s="14">
        <v>0.4310913107429446</v>
      </c>
      <c r="AF2" s="14">
        <v>2.0069700618082815</v>
      </c>
      <c r="AG2" s="18" t="str">
        <f t="shared" ref="AG2:AG179" si="1">IF(AE2&lt;1,"",$AH$5+(365/AE2))</f>
        <v/>
      </c>
    </row>
    <row r="3">
      <c r="A3" s="5" t="s">
        <v>30</v>
      </c>
      <c r="B3" s="6" t="s">
        <v>27</v>
      </c>
      <c r="C3" s="7">
        <v>71.0</v>
      </c>
      <c r="D3" s="8">
        <v>78.458</v>
      </c>
      <c r="E3" s="9">
        <v>0.792</v>
      </c>
      <c r="F3" s="10">
        <v>5046.032611084467</v>
      </c>
      <c r="G3" s="5" t="s">
        <v>31</v>
      </c>
      <c r="H3" s="6" t="s">
        <v>32</v>
      </c>
      <c r="I3" s="19">
        <v>2.88273999023438</v>
      </c>
      <c r="J3" s="14">
        <v>0.362065114608544</v>
      </c>
      <c r="K3" s="14">
        <v>0.19571763859697</v>
      </c>
      <c r="L3" s="14">
        <v>0.16317448816675</v>
      </c>
      <c r="M3" s="14">
        <v>0.018086733562888</v>
      </c>
      <c r="N3" s="14">
        <v>0.0422476200804316</v>
      </c>
      <c r="O3" s="14">
        <v>0.639822237735029</v>
      </c>
      <c r="P3" s="13">
        <v>1.42111383275061</v>
      </c>
      <c r="Q3" s="12">
        <v>0.547458323680216</v>
      </c>
      <c r="R3" s="12">
        <v>0.195847929009886</v>
      </c>
      <c r="S3" s="12">
        <v>0.207561322805762</v>
      </c>
      <c r="T3" s="12">
        <v>0.0405949713778016</v>
      </c>
      <c r="U3" s="12">
        <v>0.0422476200804316</v>
      </c>
      <c r="V3" s="12">
        <v>0.852747856167477</v>
      </c>
      <c r="W3" s="15">
        <v>1.88645802312157</v>
      </c>
      <c r="X3" s="14">
        <v>0.362065114608544</v>
      </c>
      <c r="Y3" s="14">
        <v>0.19571763859697</v>
      </c>
      <c r="Z3" s="14">
        <v>0.310590492414638</v>
      </c>
      <c r="AA3" s="14">
        <v>0.0820723594803374</v>
      </c>
      <c r="AB3" s="14">
        <v>0.0422476200804316</v>
      </c>
      <c r="AC3" s="16">
        <v>0.992693225180922</v>
      </c>
      <c r="AD3" s="17">
        <v>-0.893764797940648</v>
      </c>
      <c r="AE3" s="12">
        <v>1.1919813601342713</v>
      </c>
      <c r="AF3" s="12">
        <v>1.9003434044568563</v>
      </c>
      <c r="AG3" s="20">
        <f t="shared" si="1"/>
        <v>306.2128421</v>
      </c>
    </row>
    <row r="4">
      <c r="A4" s="5" t="s">
        <v>33</v>
      </c>
      <c r="B4" s="6" t="s">
        <v>27</v>
      </c>
      <c r="C4" s="7">
        <v>70.9</v>
      </c>
      <c r="D4" s="8">
        <v>76.693</v>
      </c>
      <c r="E4" s="9">
        <v>0.746</v>
      </c>
      <c r="F4" s="10">
        <v>4759.830053642441</v>
      </c>
      <c r="G4" s="5" t="s">
        <v>34</v>
      </c>
      <c r="H4" s="6" t="s">
        <v>32</v>
      </c>
      <c r="I4" s="19">
        <v>42.2283984375</v>
      </c>
      <c r="J4" s="14">
        <v>0.249653044641197</v>
      </c>
      <c r="K4" s="14">
        <v>0.10832919066132</v>
      </c>
      <c r="L4" s="14">
        <v>0.0798568994971498</v>
      </c>
      <c r="M4" s="14">
        <v>0.0084171093852082</v>
      </c>
      <c r="N4" s="14">
        <v>0.037283148604679</v>
      </c>
      <c r="O4" s="14">
        <v>1.20064229712231</v>
      </c>
      <c r="P4" s="13">
        <v>1.68418168991186</v>
      </c>
      <c r="Q4" s="12">
        <v>0.64291686791431</v>
      </c>
      <c r="R4" s="12">
        <v>0.150201265006895</v>
      </c>
      <c r="S4" s="12">
        <v>0.163527534515939</v>
      </c>
      <c r="T4" s="12">
        <v>0.013792763402875</v>
      </c>
      <c r="U4" s="12">
        <v>0.037283148604679</v>
      </c>
      <c r="V4" s="12">
        <v>1.33318713588963</v>
      </c>
      <c r="W4" s="15">
        <v>2.34090871533432</v>
      </c>
      <c r="X4" s="12">
        <v>0.249653044641197</v>
      </c>
      <c r="Y4" s="12">
        <v>0.249356357690563</v>
      </c>
      <c r="Z4" s="12">
        <v>0.0253325060186657</v>
      </c>
      <c r="AA4" s="12">
        <v>0.00754136950463023</v>
      </c>
      <c r="AB4" s="12">
        <v>0.037283148604679</v>
      </c>
      <c r="AC4" s="16">
        <v>0.569166426459735</v>
      </c>
      <c r="AD4" s="17">
        <v>-1.7717422888745848</v>
      </c>
      <c r="AE4" s="12">
        <v>1.4791315365910767</v>
      </c>
      <c r="AF4" s="12">
        <v>4.112872099457758</v>
      </c>
      <c r="AG4" s="20">
        <f t="shared" si="1"/>
        <v>246.7664241</v>
      </c>
    </row>
    <row r="5">
      <c r="A5" s="5" t="s">
        <v>35</v>
      </c>
      <c r="B5" s="6" t="s">
        <v>27</v>
      </c>
      <c r="C5" s="7">
        <v>50.3</v>
      </c>
      <c r="D5" s="8">
        <v>60.782</v>
      </c>
      <c r="E5" s="9">
        <v>0.582</v>
      </c>
      <c r="F5" s="10">
        <v>3233.902767090789</v>
      </c>
      <c r="G5" s="5" t="s">
        <v>34</v>
      </c>
      <c r="H5" s="6" t="s">
        <v>36</v>
      </c>
      <c r="I5" s="19">
        <v>30.809800781249898</v>
      </c>
      <c r="J5" s="14">
        <v>0.21091926669825</v>
      </c>
      <c r="K5" s="14">
        <v>0.0545463738396665</v>
      </c>
      <c r="L5" s="14">
        <v>0.0865844324850323</v>
      </c>
      <c r="M5" s="14">
        <v>0.0788920221943008</v>
      </c>
      <c r="N5" s="14">
        <v>0.0464374273660293</v>
      </c>
      <c r="O5" s="14">
        <v>0.201849768942</v>
      </c>
      <c r="P5" s="13">
        <v>0.679229291525279</v>
      </c>
      <c r="Q5" s="12">
        <v>0.329742116432915</v>
      </c>
      <c r="R5" s="12">
        <v>0.0758528505785264</v>
      </c>
      <c r="S5" s="12">
        <v>0.0895366909169708</v>
      </c>
      <c r="T5" s="12">
        <v>0.0913829061911503</v>
      </c>
      <c r="U5" s="12">
        <v>0.0464374273660293</v>
      </c>
      <c r="V5" s="12">
        <v>0.228892681045035</v>
      </c>
      <c r="W5" s="15">
        <v>0.861844672530626</v>
      </c>
      <c r="X5" s="12">
        <v>0.21091926669825</v>
      </c>
      <c r="Y5" s="12">
        <v>0.918249423096492</v>
      </c>
      <c r="Z5" s="12">
        <v>0.48599972653195</v>
      </c>
      <c r="AA5" s="12">
        <v>0.175160477233779</v>
      </c>
      <c r="AB5" s="12">
        <v>0.0464374273660293</v>
      </c>
      <c r="AC5" s="16">
        <v>1.8367663209265</v>
      </c>
      <c r="AD5" s="21">
        <v>0.9749216483958739</v>
      </c>
      <c r="AE5" s="12">
        <v>0.5445669993163311</v>
      </c>
      <c r="AF5" s="12">
        <v>0.469218464380322</v>
      </c>
      <c r="AG5" s="22" t="str">
        <f t="shared" si="1"/>
        <v/>
      </c>
    </row>
    <row r="6">
      <c r="A6" s="23" t="s">
        <v>37</v>
      </c>
      <c r="B6" s="24" t="s">
        <v>38</v>
      </c>
      <c r="C6" s="25"/>
      <c r="D6" s="26">
        <v>76.885</v>
      </c>
      <c r="E6" s="27">
        <v>0.772</v>
      </c>
      <c r="F6" s="28">
        <v>15134.910089609682</v>
      </c>
      <c r="G6" s="29" t="s">
        <v>39</v>
      </c>
      <c r="H6" s="24" t="s">
        <v>40</v>
      </c>
      <c r="I6" s="11">
        <v>0.09628600311279299</v>
      </c>
      <c r="J6" s="30"/>
      <c r="K6" s="30"/>
      <c r="L6" s="30"/>
      <c r="M6" s="30"/>
      <c r="N6" s="30"/>
      <c r="O6" s="30"/>
      <c r="P6" s="31">
        <v>1.91037279893994</v>
      </c>
      <c r="Q6" s="30"/>
      <c r="R6" s="30"/>
      <c r="S6" s="30"/>
      <c r="T6" s="30"/>
      <c r="U6" s="30"/>
      <c r="V6" s="30"/>
      <c r="W6" s="32">
        <v>4.65509241986169</v>
      </c>
      <c r="X6" s="30"/>
      <c r="Y6" s="30"/>
      <c r="Z6" s="30"/>
      <c r="AA6" s="30"/>
      <c r="AB6" s="30"/>
      <c r="AC6" s="33">
        <v>0.856508776466882</v>
      </c>
      <c r="AD6" s="17">
        <v>-3.7985836433948084</v>
      </c>
      <c r="AE6" s="12">
        <v>2.941376551276641</v>
      </c>
      <c r="AF6" s="12">
        <v>5.434961728079485</v>
      </c>
      <c r="AG6" s="34">
        <f t="shared" si="1"/>
        <v>124.0915584</v>
      </c>
    </row>
    <row r="7">
      <c r="A7" s="23" t="s">
        <v>41</v>
      </c>
      <c r="B7" s="24" t="s">
        <v>27</v>
      </c>
      <c r="C7" s="35">
        <v>72.8</v>
      </c>
      <c r="D7" s="26">
        <v>76.52</v>
      </c>
      <c r="E7" s="27">
        <v>0.842</v>
      </c>
      <c r="F7" s="28">
        <v>10076.39540623727</v>
      </c>
      <c r="G7" s="29" t="s">
        <v>42</v>
      </c>
      <c r="H7" s="24" t="s">
        <v>32</v>
      </c>
      <c r="I7" s="11">
        <v>44.3611015625</v>
      </c>
      <c r="J7" s="12">
        <v>2.20742313125958</v>
      </c>
      <c r="K7" s="12">
        <v>0.969692208764631</v>
      </c>
      <c r="L7" s="12">
        <v>0.250687823331713</v>
      </c>
      <c r="M7" s="12">
        <v>0.174033948422431</v>
      </c>
      <c r="N7" s="12">
        <v>0.0927052464559134</v>
      </c>
      <c r="O7" s="12">
        <v>1.38153722899213</v>
      </c>
      <c r="P7" s="36">
        <v>5.07607958722639</v>
      </c>
      <c r="Q7" s="12">
        <v>0.908613949053974</v>
      </c>
      <c r="R7" s="12">
        <v>0.717146941902389</v>
      </c>
      <c r="S7" s="12">
        <v>0.276677713367965</v>
      </c>
      <c r="T7" s="12">
        <v>0.0835932195035561</v>
      </c>
      <c r="U7" s="12">
        <v>0.0927052464559134</v>
      </c>
      <c r="V7" s="12">
        <v>1.23300902757136</v>
      </c>
      <c r="W7" s="37">
        <v>3.31174609785516</v>
      </c>
      <c r="X7" s="12">
        <v>2.20742313125958</v>
      </c>
      <c r="Y7" s="12">
        <v>1.7214213629259</v>
      </c>
      <c r="Z7" s="12">
        <v>0.609912160088308</v>
      </c>
      <c r="AA7" s="12">
        <v>1.54819429583163</v>
      </c>
      <c r="AB7" s="12">
        <v>0.0927052464559134</v>
      </c>
      <c r="AC7" s="38">
        <v>6.17965619656133</v>
      </c>
      <c r="AD7" s="21">
        <v>2.8679100987061705</v>
      </c>
      <c r="AE7" s="12">
        <v>2.092566900380145</v>
      </c>
      <c r="AF7" s="12">
        <v>0.5359110592103782</v>
      </c>
      <c r="AG7" s="34">
        <f t="shared" si="1"/>
        <v>174.4269203</v>
      </c>
    </row>
    <row r="8">
      <c r="A8" s="23" t="s">
        <v>43</v>
      </c>
      <c r="B8" s="24" t="s">
        <v>27</v>
      </c>
      <c r="C8" s="35">
        <v>71.8</v>
      </c>
      <c r="D8" s="26">
        <v>74.945</v>
      </c>
      <c r="E8" s="27">
        <v>0.771</v>
      </c>
      <c r="F8" s="28">
        <v>4406.741763360718</v>
      </c>
      <c r="G8" s="29" t="s">
        <v>28</v>
      </c>
      <c r="H8" s="24" t="s">
        <v>36</v>
      </c>
      <c r="I8" s="11">
        <v>2.95175</v>
      </c>
      <c r="J8" s="12">
        <v>0.208557325196056</v>
      </c>
      <c r="K8" s="12">
        <v>0.156551687882874</v>
      </c>
      <c r="L8" s="12">
        <v>0.198052713856041</v>
      </c>
      <c r="M8" s="12">
        <v>4.41355787858651E-5</v>
      </c>
      <c r="N8" s="12">
        <v>0.0357629323497004</v>
      </c>
      <c r="O8" s="12">
        <v>0.652324421254654</v>
      </c>
      <c r="P8" s="36">
        <v>1.25129321611811</v>
      </c>
      <c r="Q8" s="12">
        <v>0.482838528337327</v>
      </c>
      <c r="R8" s="12">
        <v>0.201365023087704</v>
      </c>
      <c r="S8" s="12">
        <v>0.2671960150033</v>
      </c>
      <c r="T8" s="12">
        <v>7.56200443845803E-4</v>
      </c>
      <c r="U8" s="12">
        <v>0.0357629323497004</v>
      </c>
      <c r="V8" s="12">
        <v>0.912473417315973</v>
      </c>
      <c r="W8" s="37">
        <v>1.90039211653785</v>
      </c>
      <c r="X8" s="12">
        <v>0.208557325196056</v>
      </c>
      <c r="Y8" s="12">
        <v>0.263464504424988</v>
      </c>
      <c r="Z8" s="12">
        <v>0.0926493689157448</v>
      </c>
      <c r="AA8" s="12">
        <v>0.0156823252562176</v>
      </c>
      <c r="AB8" s="12">
        <v>0.0357629323497004</v>
      </c>
      <c r="AC8" s="38">
        <v>0.616116456142707</v>
      </c>
      <c r="AD8" s="17">
        <v>-1.2842756603951428</v>
      </c>
      <c r="AE8" s="12">
        <v>1.200785785898854</v>
      </c>
      <c r="AF8" s="12">
        <v>3.084469011646841</v>
      </c>
      <c r="AG8" s="34">
        <f t="shared" si="1"/>
        <v>303.9676221</v>
      </c>
    </row>
    <row r="9">
      <c r="A9" s="23" t="s">
        <v>44</v>
      </c>
      <c r="B9" s="24" t="s">
        <v>27</v>
      </c>
      <c r="C9" s="35">
        <v>75.6</v>
      </c>
      <c r="D9" s="26">
        <v>82.7488</v>
      </c>
      <c r="E9" s="27">
        <v>0.943</v>
      </c>
      <c r="F9" s="28">
        <v>57032.23705153124</v>
      </c>
      <c r="G9" s="29" t="s">
        <v>45</v>
      </c>
      <c r="H9" s="24" t="s">
        <v>40</v>
      </c>
      <c r="I9" s="11">
        <v>24.89819921875</v>
      </c>
      <c r="J9" s="12">
        <v>1.92115791758873</v>
      </c>
      <c r="K9" s="12">
        <v>2.41325481658602</v>
      </c>
      <c r="L9" s="12">
        <v>0.984092570621241</v>
      </c>
      <c r="M9" s="12">
        <v>0.0413691723629151</v>
      </c>
      <c r="N9" s="12">
        <v>0.0408703540405788</v>
      </c>
      <c r="O9" s="12">
        <v>5.44593930426768</v>
      </c>
      <c r="P9" s="36">
        <v>10.8466841354672</v>
      </c>
      <c r="Q9" s="12">
        <v>0.765994859572182</v>
      </c>
      <c r="R9" s="12">
        <v>0.522429083886807</v>
      </c>
      <c r="S9" s="12">
        <v>0.947138881586788</v>
      </c>
      <c r="T9" s="12">
        <v>0.112822069917975</v>
      </c>
      <c r="U9" s="12">
        <v>0.0408703540405788</v>
      </c>
      <c r="V9" s="12">
        <v>4.69678370165206</v>
      </c>
      <c r="W9" s="37">
        <v>7.08603895065639</v>
      </c>
      <c r="X9" s="12">
        <v>1.92115791758873</v>
      </c>
      <c r="Y9" s="12">
        <v>4.61339332792159</v>
      </c>
      <c r="Z9" s="12">
        <v>1.95952920630635</v>
      </c>
      <c r="AA9" s="12">
        <v>2.93674339815278</v>
      </c>
      <c r="AB9" s="12">
        <v>0.0408703540405788</v>
      </c>
      <c r="AC9" s="38">
        <v>11.47169420401</v>
      </c>
      <c r="AD9" s="21">
        <v>4.385655253353609</v>
      </c>
      <c r="AE9" s="12">
        <v>4.477399572555192</v>
      </c>
      <c r="AF9" s="12">
        <v>0.6176976848092257</v>
      </c>
      <c r="AG9" s="34">
        <f t="shared" si="1"/>
        <v>81.52053309</v>
      </c>
    </row>
    <row r="10">
      <c r="A10" s="23" t="s">
        <v>46</v>
      </c>
      <c r="B10" s="24" t="s">
        <v>27</v>
      </c>
      <c r="C10" s="35">
        <v>82.1</v>
      </c>
      <c r="D10" s="26">
        <v>81.6927</v>
      </c>
      <c r="E10" s="27">
        <v>0.921</v>
      </c>
      <c r="F10" s="28">
        <v>49711.01452939631</v>
      </c>
      <c r="G10" s="29" t="s">
        <v>47</v>
      </c>
      <c r="H10" s="24" t="s">
        <v>40</v>
      </c>
      <c r="I10" s="11">
        <v>8.89138964843749</v>
      </c>
      <c r="J10" s="12">
        <v>0.51906870070478</v>
      </c>
      <c r="K10" s="12">
        <v>0.144925246547453</v>
      </c>
      <c r="L10" s="12">
        <v>1.31108456006782</v>
      </c>
      <c r="M10" s="12">
        <v>5.99368427143614E-5</v>
      </c>
      <c r="N10" s="12">
        <v>0.131240905009873</v>
      </c>
      <c r="O10" s="12">
        <v>2.51309583926309</v>
      </c>
      <c r="P10" s="36">
        <v>4.61947518843573</v>
      </c>
      <c r="Q10" s="12">
        <v>0.751800319841326</v>
      </c>
      <c r="R10" s="12">
        <v>0.26921436374345</v>
      </c>
      <c r="S10" s="12">
        <v>0.919378383696686</v>
      </c>
      <c r="T10" s="12">
        <v>0.0563843932985444</v>
      </c>
      <c r="U10" s="12">
        <v>0.131240905009873</v>
      </c>
      <c r="V10" s="12">
        <v>3.93644118703882</v>
      </c>
      <c r="W10" s="37">
        <v>6.0644595526287</v>
      </c>
      <c r="X10" s="12">
        <v>0.51906870070478</v>
      </c>
      <c r="Y10" s="12">
        <v>0.144925246547453</v>
      </c>
      <c r="Z10" s="12">
        <v>1.87749553859898</v>
      </c>
      <c r="AA10" s="12">
        <v>0.00295564268453639</v>
      </c>
      <c r="AB10" s="12">
        <v>0.131240905009873</v>
      </c>
      <c r="AC10" s="38">
        <v>2.67568603354563</v>
      </c>
      <c r="AD10" s="17">
        <v>-3.3887735190830703</v>
      </c>
      <c r="AE10" s="12">
        <v>3.8319022514267673</v>
      </c>
      <c r="AF10" s="12">
        <v>2.2665064124106173</v>
      </c>
      <c r="AG10" s="34">
        <f t="shared" si="1"/>
        <v>95.25295168</v>
      </c>
    </row>
    <row r="11">
      <c r="A11" s="23" t="s">
        <v>48</v>
      </c>
      <c r="B11" s="24" t="s">
        <v>27</v>
      </c>
      <c r="C11" s="35">
        <v>72.4</v>
      </c>
      <c r="D11" s="26">
        <v>72.864</v>
      </c>
      <c r="E11" s="27">
        <v>0.754</v>
      </c>
      <c r="F11" s="28">
        <v>5795.021656642627</v>
      </c>
      <c r="G11" s="29" t="s">
        <v>28</v>
      </c>
      <c r="H11" s="24" t="s">
        <v>32</v>
      </c>
      <c r="I11" s="11">
        <v>9.94954003906248</v>
      </c>
      <c r="J11" s="12">
        <v>0.435543823790782</v>
      </c>
      <c r="K11" s="12">
        <v>0.173177123036226</v>
      </c>
      <c r="L11" s="12">
        <v>0.0162266564097313</v>
      </c>
      <c r="M11" s="12">
        <v>2.89619383426397E-4</v>
      </c>
      <c r="N11" s="12">
        <v>0.0569118763828352</v>
      </c>
      <c r="O11" s="12">
        <v>1.11456573366079</v>
      </c>
      <c r="P11" s="36">
        <v>1.79671483266379</v>
      </c>
      <c r="Q11" s="12">
        <v>0.591934801042851</v>
      </c>
      <c r="R11" s="12">
        <v>0.222369954313027</v>
      </c>
      <c r="S11" s="12">
        <v>0.127092963845586</v>
      </c>
      <c r="T11" s="12">
        <v>0.0102198615105309</v>
      </c>
      <c r="U11" s="12">
        <v>0.0569118763828352</v>
      </c>
      <c r="V11" s="12">
        <v>1.05154532053179</v>
      </c>
      <c r="W11" s="37">
        <v>2.06007477762662</v>
      </c>
      <c r="X11" s="12">
        <v>0.435543823790782</v>
      </c>
      <c r="Y11" s="12">
        <v>0.173177123036226</v>
      </c>
      <c r="Z11" s="12">
        <v>0.107072789619193</v>
      </c>
      <c r="AA11" s="12">
        <v>0.0144557418774481</v>
      </c>
      <c r="AB11" s="12">
        <v>0.0569118763828352</v>
      </c>
      <c r="AC11" s="38">
        <v>0.787161354706485</v>
      </c>
      <c r="AD11" s="17">
        <v>-1.2729134229201353</v>
      </c>
      <c r="AE11" s="12">
        <v>1.301683210183702</v>
      </c>
      <c r="AF11" s="12">
        <v>2.6170933891880104</v>
      </c>
      <c r="AG11" s="34">
        <f t="shared" si="1"/>
        <v>280.4061673</v>
      </c>
    </row>
    <row r="12">
      <c r="A12" s="23" t="s">
        <v>49</v>
      </c>
      <c r="B12" s="24" t="s">
        <v>27</v>
      </c>
      <c r="C12" s="25"/>
      <c r="D12" s="26">
        <v>73.752</v>
      </c>
      <c r="E12" s="27">
        <v>0.812</v>
      </c>
      <c r="F12" s="28">
        <v>28845.521021436787</v>
      </c>
      <c r="G12" s="29" t="s">
        <v>39</v>
      </c>
      <c r="H12" s="24" t="s">
        <v>40</v>
      </c>
      <c r="I12" s="11">
        <v>0.385636993408203</v>
      </c>
      <c r="J12" s="12">
        <v>0.0493067627665355</v>
      </c>
      <c r="K12" s="12">
        <v>0.00234998750684305</v>
      </c>
      <c r="L12" s="12">
        <v>0.0636655038355469</v>
      </c>
      <c r="M12" s="12">
        <v>0.054176856223556</v>
      </c>
      <c r="N12" s="12">
        <v>0.0425307796456782</v>
      </c>
      <c r="O12" s="12">
        <v>1.71107539997759</v>
      </c>
      <c r="P12" s="36">
        <v>1.92310528995575</v>
      </c>
      <c r="Q12" s="12">
        <v>0.580121172508034</v>
      </c>
      <c r="R12" s="12">
        <v>0.276781913722612</v>
      </c>
      <c r="S12" s="12">
        <v>0.220928672588984</v>
      </c>
      <c r="T12" s="12">
        <v>0.11421525041982</v>
      </c>
      <c r="U12" s="12">
        <v>0.0425307796456782</v>
      </c>
      <c r="V12" s="12">
        <v>3.04994819521358</v>
      </c>
      <c r="W12" s="37">
        <v>4.28452598409871</v>
      </c>
      <c r="X12" s="12">
        <v>0.0493067627665355</v>
      </c>
      <c r="Y12" s="12">
        <v>0.00234998750684305</v>
      </c>
      <c r="Z12" s="12">
        <v>1.09923100222213</v>
      </c>
      <c r="AA12" s="12">
        <v>7.98196516497908</v>
      </c>
      <c r="AB12" s="12">
        <v>0.0425307796456782</v>
      </c>
      <c r="AC12" s="38">
        <v>9.17538369712026</v>
      </c>
      <c r="AD12" s="21">
        <v>4.89085771302155</v>
      </c>
      <c r="AE12" s="12">
        <v>2.7072296586837385</v>
      </c>
      <c r="AF12" s="12">
        <v>0.466958780747603</v>
      </c>
      <c r="AG12" s="34">
        <f t="shared" si="1"/>
        <v>134.8241731</v>
      </c>
    </row>
    <row r="13">
      <c r="A13" s="23" t="s">
        <v>50</v>
      </c>
      <c r="B13" s="24" t="s">
        <v>27</v>
      </c>
      <c r="C13" s="35">
        <v>66.1</v>
      </c>
      <c r="D13" s="26">
        <v>77.163</v>
      </c>
      <c r="E13" s="27">
        <v>0.852</v>
      </c>
      <c r="F13" s="28">
        <v>21477.970657701197</v>
      </c>
      <c r="G13" s="29" t="s">
        <v>28</v>
      </c>
      <c r="H13" s="24" t="s">
        <v>40</v>
      </c>
      <c r="I13" s="11">
        <v>1.56944995117187</v>
      </c>
      <c r="J13" s="12">
        <v>0.00686045557958919</v>
      </c>
      <c r="K13" s="12">
        <v>0.0</v>
      </c>
      <c r="L13" s="12">
        <v>0.00174295200877439</v>
      </c>
      <c r="M13" s="12">
        <v>0.0265718555044115</v>
      </c>
      <c r="N13" s="12">
        <v>0.0693809794524034</v>
      </c>
      <c r="O13" s="12">
        <v>7.18705485177368</v>
      </c>
      <c r="P13" s="36">
        <v>7.29161109431885</v>
      </c>
      <c r="Q13" s="12">
        <v>0.590591676953265</v>
      </c>
      <c r="R13" s="12">
        <v>0.30791473732531</v>
      </c>
      <c r="S13" s="12">
        <v>0.219729537524482</v>
      </c>
      <c r="T13" s="12">
        <v>0.0802372604991535</v>
      </c>
      <c r="U13" s="12">
        <v>0.0693809794524034</v>
      </c>
      <c r="V13" s="12">
        <v>6.90503391399013</v>
      </c>
      <c r="W13" s="37">
        <v>8.17288810574474</v>
      </c>
      <c r="X13" s="12">
        <v>0.0068604555795892</v>
      </c>
      <c r="Y13" s="12">
        <v>0.0</v>
      </c>
      <c r="Z13" s="12">
        <v>7.7537037049437E-4</v>
      </c>
      <c r="AA13" s="12">
        <v>0.388243105536235</v>
      </c>
      <c r="AB13" s="12">
        <v>0.0693809794524034</v>
      </c>
      <c r="AC13" s="38">
        <v>0.465259910938722</v>
      </c>
      <c r="AD13" s="17">
        <v>-7.707628194806017</v>
      </c>
      <c r="AE13" s="12">
        <v>5.164138380556491</v>
      </c>
      <c r="AF13" s="12">
        <v>17.566284808968135</v>
      </c>
      <c r="AG13" s="34">
        <f t="shared" si="1"/>
        <v>70.67974812</v>
      </c>
    </row>
    <row r="14">
      <c r="A14" s="23" t="s">
        <v>51</v>
      </c>
      <c r="B14" s="24" t="s">
        <v>27</v>
      </c>
      <c r="C14" s="35">
        <v>63.5</v>
      </c>
      <c r="D14" s="26">
        <v>72.32</v>
      </c>
      <c r="E14" s="27">
        <v>0.625</v>
      </c>
      <c r="F14" s="28">
        <v>1202.1539624605737</v>
      </c>
      <c r="G14" s="29" t="s">
        <v>45</v>
      </c>
      <c r="H14" s="24" t="s">
        <v>29</v>
      </c>
      <c r="I14" s="11">
        <v>161.377</v>
      </c>
      <c r="J14" s="12">
        <v>0.273862594835575</v>
      </c>
      <c r="K14" s="12">
        <v>0.00319794563405955</v>
      </c>
      <c r="L14" s="12">
        <v>0.0619307171747321</v>
      </c>
      <c r="M14" s="12">
        <v>0.0217608817386625</v>
      </c>
      <c r="N14" s="12">
        <v>0.0814558435756814</v>
      </c>
      <c r="O14" s="12">
        <v>0.191779705593373</v>
      </c>
      <c r="P14" s="36">
        <v>0.633987688552084</v>
      </c>
      <c r="Q14" s="12">
        <v>0.385748167749737</v>
      </c>
      <c r="R14" s="12">
        <v>0.00544017943188014</v>
      </c>
      <c r="S14" s="12">
        <v>0.08178511062609</v>
      </c>
      <c r="T14" s="12">
        <v>0.0270048400266276</v>
      </c>
      <c r="U14" s="12">
        <v>0.0814558435756814</v>
      </c>
      <c r="V14" s="12">
        <v>0.322460085927038</v>
      </c>
      <c r="W14" s="37">
        <v>0.903894227337054</v>
      </c>
      <c r="X14" s="12">
        <v>0.273862594835575</v>
      </c>
      <c r="Y14" s="12">
        <v>0.00319794563405955</v>
      </c>
      <c r="Z14" s="12">
        <v>0.00512813145574539</v>
      </c>
      <c r="AA14" s="12">
        <v>0.0512234233030412</v>
      </c>
      <c r="AB14" s="12">
        <v>0.0814558435756814</v>
      </c>
      <c r="AC14" s="38">
        <v>0.414867938804102</v>
      </c>
      <c r="AD14" s="17">
        <v>-0.48902628853295205</v>
      </c>
      <c r="AE14" s="12">
        <v>0.571136520035519</v>
      </c>
      <c r="AF14" s="12">
        <v>2.1787517009451705</v>
      </c>
      <c r="AG14" s="39" t="str">
        <f t="shared" si="1"/>
        <v/>
      </c>
    </row>
    <row r="15">
      <c r="A15" s="23" t="s">
        <v>52</v>
      </c>
      <c r="B15" s="24" t="s">
        <v>27</v>
      </c>
      <c r="C15" s="35">
        <v>68.4</v>
      </c>
      <c r="D15" s="26">
        <v>79.081</v>
      </c>
      <c r="E15" s="27">
        <v>0.81</v>
      </c>
      <c r="F15" s="28">
        <v>16136.910427427767</v>
      </c>
      <c r="G15" s="29" t="s">
        <v>39</v>
      </c>
      <c r="H15" s="24" t="s">
        <v>40</v>
      </c>
      <c r="I15" s="11">
        <v>0.286640991210937</v>
      </c>
      <c r="J15" s="12">
        <v>0.0674199932807721</v>
      </c>
      <c r="K15" s="12">
        <v>0.00316159287915277</v>
      </c>
      <c r="L15" s="12">
        <v>0.0207653360937968</v>
      </c>
      <c r="M15" s="12">
        <v>0.0723319367053496</v>
      </c>
      <c r="N15" s="12">
        <v>0.054271660452771</v>
      </c>
      <c r="O15" s="12">
        <v>1.68619989634865</v>
      </c>
      <c r="P15" s="36">
        <v>1.90415041576049</v>
      </c>
      <c r="Q15" s="12">
        <v>0.575687410582073</v>
      </c>
      <c r="R15" s="12">
        <v>0.283128381081388</v>
      </c>
      <c r="S15" s="12">
        <v>0.128745080231165</v>
      </c>
      <c r="T15" s="12">
        <v>0.272113331588847</v>
      </c>
      <c r="U15" s="12">
        <v>0.054271660452771</v>
      </c>
      <c r="V15" s="12">
        <v>2.65570920478227</v>
      </c>
      <c r="W15" s="37">
        <v>3.96965506871852</v>
      </c>
      <c r="X15" s="12">
        <v>0.0674199932807721</v>
      </c>
      <c r="Y15" s="12">
        <v>0.00316159287915277</v>
      </c>
      <c r="Z15" s="12">
        <v>0.0182733834526564</v>
      </c>
      <c r="AA15" s="12">
        <v>0.0430394819701271</v>
      </c>
      <c r="AB15" s="12">
        <v>0.054271660452771</v>
      </c>
      <c r="AC15" s="38">
        <v>0.186166112035479</v>
      </c>
      <c r="AD15" s="17">
        <v>-3.783488956683041</v>
      </c>
      <c r="AE15" s="12">
        <v>2.508274655507707</v>
      </c>
      <c r="AF15" s="12">
        <v>21.323188336027528</v>
      </c>
      <c r="AG15" s="34">
        <f t="shared" si="1"/>
        <v>145.5183543</v>
      </c>
    </row>
    <row r="16">
      <c r="A16" s="23" t="s">
        <v>53</v>
      </c>
      <c r="B16" s="24" t="s">
        <v>27</v>
      </c>
      <c r="C16" s="35">
        <v>78.8</v>
      </c>
      <c r="D16" s="26">
        <v>74.1756</v>
      </c>
      <c r="E16" s="27">
        <v>0.823</v>
      </c>
      <c r="F16" s="28">
        <v>6607.808123636349</v>
      </c>
      <c r="G16" s="29" t="s">
        <v>31</v>
      </c>
      <c r="H16" s="24" t="s">
        <v>32</v>
      </c>
      <c r="I16" s="11">
        <v>9.452620117187509</v>
      </c>
      <c r="J16" s="12">
        <v>0.854818813263575</v>
      </c>
      <c r="K16" s="12">
        <v>0.249903134506054</v>
      </c>
      <c r="L16" s="12">
        <v>1.68479136889059</v>
      </c>
      <c r="M16" s="12">
        <v>3.51119286940541E-4</v>
      </c>
      <c r="N16" s="12">
        <v>0.0497615235398288</v>
      </c>
      <c r="O16" s="12">
        <v>2.26310219307781</v>
      </c>
      <c r="P16" s="36">
        <v>5.10272815256479</v>
      </c>
      <c r="Q16" s="12">
        <v>0.713218301851431</v>
      </c>
      <c r="R16" s="12">
        <v>0.124496003217662</v>
      </c>
      <c r="S16" s="12">
        <v>1.31742152829632</v>
      </c>
      <c r="T16" s="12">
        <v>0.0713461303252274</v>
      </c>
      <c r="U16" s="12">
        <v>0.0497615235398288</v>
      </c>
      <c r="V16" s="12">
        <v>2.12673536259474</v>
      </c>
      <c r="W16" s="37">
        <v>4.4029788498252</v>
      </c>
      <c r="X16" s="12">
        <v>0.854818813263575</v>
      </c>
      <c r="Y16" s="12">
        <v>0.249903134506054</v>
      </c>
      <c r="Z16" s="12">
        <v>1.68508489987914</v>
      </c>
      <c r="AA16" s="12">
        <v>0.0178146001387219</v>
      </c>
      <c r="AB16" s="12">
        <v>0.0497615235398288</v>
      </c>
      <c r="AC16" s="38">
        <v>2.85738297132732</v>
      </c>
      <c r="AD16" s="17">
        <v>-1.5455958784978794</v>
      </c>
      <c r="AE16" s="12">
        <v>2.7820755371872137</v>
      </c>
      <c r="AF16" s="12">
        <v>1.5409130991565736</v>
      </c>
      <c r="AG16" s="34">
        <f t="shared" si="1"/>
        <v>131.1970128</v>
      </c>
    </row>
    <row r="17">
      <c r="A17" s="23" t="s">
        <v>54</v>
      </c>
      <c r="B17" s="24" t="s">
        <v>27</v>
      </c>
      <c r="C17" s="35">
        <v>82.2</v>
      </c>
      <c r="D17" s="26">
        <v>81.5951</v>
      </c>
      <c r="E17" s="27">
        <v>0.93</v>
      </c>
      <c r="F17" s="28">
        <v>46768.040172233705</v>
      </c>
      <c r="G17" s="29" t="s">
        <v>47</v>
      </c>
      <c r="H17" s="24" t="s">
        <v>40</v>
      </c>
      <c r="I17" s="11">
        <v>11.4822001953124</v>
      </c>
      <c r="J17" s="12">
        <v>0.290762899376203</v>
      </c>
      <c r="K17" s="12">
        <v>0.0332169341285414</v>
      </c>
      <c r="L17" s="12">
        <v>0.290377779403455</v>
      </c>
      <c r="M17" s="12">
        <v>0.0139428819875017</v>
      </c>
      <c r="N17" s="12">
        <v>0.133779703541772</v>
      </c>
      <c r="O17" s="12">
        <v>2.8946679469227</v>
      </c>
      <c r="P17" s="36">
        <v>3.65674814536017</v>
      </c>
      <c r="Q17" s="12">
        <v>1.10036583034798</v>
      </c>
      <c r="R17" s="12">
        <v>0.408781675993326</v>
      </c>
      <c r="S17" s="12">
        <v>0.564127271155203</v>
      </c>
      <c r="T17" s="12">
        <v>0.094978505365771</v>
      </c>
      <c r="U17" s="12">
        <v>0.133779703541772</v>
      </c>
      <c r="V17" s="12">
        <v>4.56360066841408</v>
      </c>
      <c r="W17" s="37">
        <v>6.86563365481813</v>
      </c>
      <c r="X17" s="12">
        <v>0.290762899376203</v>
      </c>
      <c r="Y17" s="12">
        <v>0.0332169341285414</v>
      </c>
      <c r="Z17" s="12">
        <v>0.262285129854447</v>
      </c>
      <c r="AA17" s="12">
        <v>0.0418560574867168</v>
      </c>
      <c r="AB17" s="12">
        <v>0.133779703541772</v>
      </c>
      <c r="AC17" s="38">
        <v>0.76190072438768</v>
      </c>
      <c r="AD17" s="17">
        <v>-6.10373293043045</v>
      </c>
      <c r="AE17" s="12">
        <v>4.338133815727294</v>
      </c>
      <c r="AF17" s="12">
        <v>9.011191924428033</v>
      </c>
      <c r="AG17" s="34">
        <f t="shared" si="1"/>
        <v>84.13756133</v>
      </c>
    </row>
    <row r="18">
      <c r="A18" s="23" t="s">
        <v>55</v>
      </c>
      <c r="B18" s="24" t="s">
        <v>56</v>
      </c>
      <c r="C18" s="35">
        <v>64.4</v>
      </c>
      <c r="D18" s="26">
        <v>74.496</v>
      </c>
      <c r="E18" s="27">
        <v>0.714</v>
      </c>
      <c r="F18" s="28">
        <v>4217.2076175280645</v>
      </c>
      <c r="G18" s="29" t="s">
        <v>39</v>
      </c>
      <c r="H18" s="24" t="s">
        <v>32</v>
      </c>
      <c r="I18" s="11">
        <v>0.38307101440429603</v>
      </c>
      <c r="J18" s="12">
        <v>0.508001299126198</v>
      </c>
      <c r="K18" s="12">
        <v>0.194245822829467</v>
      </c>
      <c r="L18" s="12">
        <v>0.198326909161879</v>
      </c>
      <c r="M18" s="12">
        <v>5.20430664097156</v>
      </c>
      <c r="N18" s="12">
        <v>5.22416858660702E-4</v>
      </c>
      <c r="O18" s="12">
        <v>0.376702381498338</v>
      </c>
      <c r="P18" s="36">
        <v>6.4821054704461</v>
      </c>
      <c r="Q18" s="12">
        <v>0.507990847104286</v>
      </c>
      <c r="R18" s="12">
        <v>0.274985047933845</v>
      </c>
      <c r="S18" s="12">
        <v>0.303776999593317</v>
      </c>
      <c r="T18" s="12">
        <v>5.14439286318242</v>
      </c>
      <c r="U18" s="12">
        <v>5.22416858660702E-4</v>
      </c>
      <c r="V18" s="12">
        <v>1.64079204470191</v>
      </c>
      <c r="W18" s="37">
        <v>7.87246021937444</v>
      </c>
      <c r="X18" s="12">
        <v>0.508001299126198</v>
      </c>
      <c r="Y18" s="12">
        <v>0.194245822829467</v>
      </c>
      <c r="Z18" s="12">
        <v>1.87507000648132</v>
      </c>
      <c r="AA18" s="12">
        <v>0.936025179782358</v>
      </c>
      <c r="AB18" s="12">
        <v>5.22416858660702E-4</v>
      </c>
      <c r="AC18" s="38">
        <v>3.51386472507801</v>
      </c>
      <c r="AD18" s="17">
        <v>-4.35859549429643</v>
      </c>
      <c r="AE18" s="12">
        <v>4.97430938026664</v>
      </c>
      <c r="AF18" s="12">
        <v>2.240399342407715</v>
      </c>
      <c r="AG18" s="34">
        <f t="shared" si="1"/>
        <v>73.37702022</v>
      </c>
    </row>
    <row r="19">
      <c r="A19" s="23" t="s">
        <v>57</v>
      </c>
      <c r="B19" s="24" t="s">
        <v>27</v>
      </c>
      <c r="C19" s="35">
        <v>49.9</v>
      </c>
      <c r="D19" s="26">
        <v>61.47</v>
      </c>
      <c r="E19" s="27">
        <v>0.541</v>
      </c>
      <c r="F19" s="28">
        <v>1211.3191118850782</v>
      </c>
      <c r="G19" s="29" t="s">
        <v>34</v>
      </c>
      <c r="H19" s="24" t="s">
        <v>29</v>
      </c>
      <c r="I19" s="11">
        <v>11.4849999999999</v>
      </c>
      <c r="J19" s="12">
        <v>0.607541816560887</v>
      </c>
      <c r="K19" s="12">
        <v>0.032145828445931</v>
      </c>
      <c r="L19" s="12">
        <v>0.239971029286664</v>
      </c>
      <c r="M19" s="12">
        <v>0.040518941462872</v>
      </c>
      <c r="N19" s="12">
        <v>0.0526068669891117</v>
      </c>
      <c r="O19" s="12">
        <v>0.233660366319844</v>
      </c>
      <c r="P19" s="36">
        <v>1.20644484906531</v>
      </c>
      <c r="Q19" s="12">
        <v>0.778173504280193</v>
      </c>
      <c r="R19" s="12">
        <v>0.0355927129287684</v>
      </c>
      <c r="S19" s="12">
        <v>0.236790878530307</v>
      </c>
      <c r="T19" s="12">
        <v>0.106953092506193</v>
      </c>
      <c r="U19" s="12">
        <v>0.0526068669891117</v>
      </c>
      <c r="V19" s="12">
        <v>0.397322210156711</v>
      </c>
      <c r="W19" s="37">
        <v>1.60743926539129</v>
      </c>
      <c r="X19" s="12">
        <v>0.607541816560887</v>
      </c>
      <c r="Y19" s="12">
        <v>0.032145828445931</v>
      </c>
      <c r="Z19" s="12">
        <v>0.207890885071152</v>
      </c>
      <c r="AA19" s="12">
        <v>0.0196409844207302</v>
      </c>
      <c r="AB19" s="12">
        <v>0.0526068669891117</v>
      </c>
      <c r="AC19" s="38">
        <v>0.919826381487812</v>
      </c>
      <c r="AD19" s="17">
        <v>-0.6876128839034779</v>
      </c>
      <c r="AE19" s="12">
        <v>1.0156799771901777</v>
      </c>
      <c r="AF19" s="12">
        <v>1.7475463823849773</v>
      </c>
      <c r="AG19" s="34">
        <f t="shared" si="1"/>
        <v>359.3651624</v>
      </c>
    </row>
    <row r="20">
      <c r="A20" s="23" t="s">
        <v>58</v>
      </c>
      <c r="B20" s="24" t="s">
        <v>27</v>
      </c>
      <c r="C20" s="35">
        <v>70.0</v>
      </c>
      <c r="D20" s="26">
        <v>71.46</v>
      </c>
      <c r="E20" s="27">
        <v>0.649</v>
      </c>
      <c r="F20" s="28">
        <v>3128.8541154846575</v>
      </c>
      <c r="G20" s="29" t="s">
        <v>45</v>
      </c>
      <c r="H20" s="24" t="s">
        <v>36</v>
      </c>
      <c r="I20" s="11">
        <v>0.754388000488281</v>
      </c>
      <c r="J20" s="12">
        <v>0.223886749884971</v>
      </c>
      <c r="K20" s="12">
        <v>0.302771717352749</v>
      </c>
      <c r="L20" s="12">
        <v>2.73283772233651</v>
      </c>
      <c r="M20" s="12">
        <v>2.40487189918628E-6</v>
      </c>
      <c r="N20" s="12">
        <v>0.21432925287391</v>
      </c>
      <c r="O20" s="12">
        <v>0.796209315534089</v>
      </c>
      <c r="P20" s="36">
        <v>4.27003716285413</v>
      </c>
      <c r="Q20" s="12">
        <v>0.541126600779743</v>
      </c>
      <c r="R20" s="12">
        <v>0.379141701240141</v>
      </c>
      <c r="S20" s="12">
        <v>2.79280963330095</v>
      </c>
      <c r="T20" s="12">
        <v>0.0292221673926583</v>
      </c>
      <c r="U20" s="12">
        <v>0.21432925287391</v>
      </c>
      <c r="V20" s="12">
        <v>1.20214028284362</v>
      </c>
      <c r="W20" s="37">
        <v>5.15876963843102</v>
      </c>
      <c r="X20" s="12">
        <v>0.223886749884971</v>
      </c>
      <c r="Y20" s="12">
        <v>0.339840183186475</v>
      </c>
      <c r="Z20" s="12">
        <v>4.18732008696396</v>
      </c>
      <c r="AA20" s="12">
        <v>0.0120790156754583</v>
      </c>
      <c r="AB20" s="12">
        <v>0.21432925287391</v>
      </c>
      <c r="AC20" s="38">
        <v>4.97745528858478</v>
      </c>
      <c r="AD20" s="17">
        <v>-0.1813143498462404</v>
      </c>
      <c r="AE20" s="12">
        <v>3.259631104890012</v>
      </c>
      <c r="AF20" s="12">
        <v>1.0364271177406785</v>
      </c>
      <c r="AG20" s="34">
        <f t="shared" si="1"/>
        <v>111.9758611</v>
      </c>
    </row>
    <row r="21">
      <c r="A21" s="23" t="s">
        <v>59</v>
      </c>
      <c r="B21" s="24" t="s">
        <v>27</v>
      </c>
      <c r="C21" s="35">
        <v>67.6</v>
      </c>
      <c r="D21" s="26">
        <v>71.239</v>
      </c>
      <c r="E21" s="27">
        <v>0.714</v>
      </c>
      <c r="F21" s="28">
        <v>2559.5212761107537</v>
      </c>
      <c r="G21" s="29" t="s">
        <v>42</v>
      </c>
      <c r="H21" s="24" t="s">
        <v>36</v>
      </c>
      <c r="I21" s="11">
        <v>11.353099609375</v>
      </c>
      <c r="J21" s="12">
        <v>0.639294965255619</v>
      </c>
      <c r="K21" s="12">
        <v>1.6154630861801</v>
      </c>
      <c r="L21" s="12">
        <v>0.172084704982988</v>
      </c>
      <c r="M21" s="12">
        <v>9.92459359729189E-4</v>
      </c>
      <c r="N21" s="12">
        <v>0.0647496127742872</v>
      </c>
      <c r="O21" s="12">
        <v>0.69736534105786</v>
      </c>
      <c r="P21" s="36">
        <v>3.18995016961059</v>
      </c>
      <c r="Q21" s="12">
        <v>0.476111574976585</v>
      </c>
      <c r="R21" s="12">
        <v>1.60714177291152</v>
      </c>
      <c r="S21" s="12">
        <v>0.201783008850206</v>
      </c>
      <c r="T21" s="12">
        <v>0.00949431531915063</v>
      </c>
      <c r="U21" s="12">
        <v>0.0647496127742872</v>
      </c>
      <c r="V21" s="12">
        <v>0.749221758143257</v>
      </c>
      <c r="W21" s="37">
        <v>3.108502042975</v>
      </c>
      <c r="X21" s="12">
        <v>0.639294965255619</v>
      </c>
      <c r="Y21" s="12">
        <v>2.01286303803475</v>
      </c>
      <c r="Z21" s="12">
        <v>11.4796501125486</v>
      </c>
      <c r="AA21" s="12">
        <v>0.0490563479913365</v>
      </c>
      <c r="AB21" s="12">
        <v>0.0647496127742872</v>
      </c>
      <c r="AC21" s="38">
        <v>14.2456140766046</v>
      </c>
      <c r="AD21" s="21">
        <v>11.137112033629599</v>
      </c>
      <c r="AE21" s="12">
        <v>1.9641446815944978</v>
      </c>
      <c r="AF21" s="12">
        <v>0.21820765509014142</v>
      </c>
      <c r="AG21" s="34">
        <f t="shared" si="1"/>
        <v>185.8315242</v>
      </c>
    </row>
    <row r="22">
      <c r="A22" s="23" t="s">
        <v>60</v>
      </c>
      <c r="B22" s="24" t="s">
        <v>27</v>
      </c>
      <c r="C22" s="35">
        <v>73.7</v>
      </c>
      <c r="D22" s="26">
        <v>77.262</v>
      </c>
      <c r="E22" s="27">
        <v>0.777</v>
      </c>
      <c r="F22" s="28">
        <v>6096.909506752836</v>
      </c>
      <c r="G22" s="29" t="s">
        <v>31</v>
      </c>
      <c r="H22" s="24" t="s">
        <v>32</v>
      </c>
      <c r="I22" s="11">
        <v>3.32392993164062</v>
      </c>
      <c r="J22" s="12">
        <v>0.470343415125155</v>
      </c>
      <c r="K22" s="12">
        <v>0.196021949173563</v>
      </c>
      <c r="L22" s="12">
        <v>0.814962169094614</v>
      </c>
      <c r="M22" s="12">
        <v>1.39715130083362E-4</v>
      </c>
      <c r="N22" s="12">
        <v>0.0304861728542268</v>
      </c>
      <c r="O22" s="12">
        <v>2.39956390420984</v>
      </c>
      <c r="P22" s="36">
        <v>3.91151732558748</v>
      </c>
      <c r="Q22" s="12">
        <v>0.86458933067101</v>
      </c>
      <c r="R22" s="12">
        <v>0.372742174476917</v>
      </c>
      <c r="S22" s="12">
        <v>0.635469037125028</v>
      </c>
      <c r="T22" s="12">
        <v>0.0253765995725288</v>
      </c>
      <c r="U22" s="12">
        <v>0.0304861728542268</v>
      </c>
      <c r="V22" s="12">
        <v>1.96356962308562</v>
      </c>
      <c r="W22" s="37">
        <v>3.89223293778533</v>
      </c>
      <c r="X22" s="12">
        <v>0.470343415125155</v>
      </c>
      <c r="Y22" s="12">
        <v>0.241145428964578</v>
      </c>
      <c r="Z22" s="12">
        <v>1.25343493126095</v>
      </c>
      <c r="AA22" s="12">
        <v>0.00390198300938302</v>
      </c>
      <c r="AB22" s="12">
        <v>0.0304861728542268</v>
      </c>
      <c r="AC22" s="38">
        <v>1.99931193121429</v>
      </c>
      <c r="AD22" s="17">
        <v>-1.8929210065710402</v>
      </c>
      <c r="AE22" s="12">
        <v>2.4593545439530753</v>
      </c>
      <c r="AF22" s="12">
        <v>1.9467862303114287</v>
      </c>
      <c r="AG22" s="34">
        <f t="shared" si="1"/>
        <v>148.4129244</v>
      </c>
    </row>
    <row r="23">
      <c r="A23" s="23" t="s">
        <v>61</v>
      </c>
      <c r="B23" s="24" t="s">
        <v>27</v>
      </c>
      <c r="C23" s="35">
        <v>61.9</v>
      </c>
      <c r="D23" s="26">
        <v>69.275</v>
      </c>
      <c r="E23" s="27">
        <v>0.73</v>
      </c>
      <c r="F23" s="28">
        <v>8032.891370222135</v>
      </c>
      <c r="G23" s="29" t="s">
        <v>34</v>
      </c>
      <c r="H23" s="24" t="s">
        <v>32</v>
      </c>
      <c r="I23" s="11">
        <v>2.2540700683593697</v>
      </c>
      <c r="J23" s="12">
        <v>0.0592313268296719</v>
      </c>
      <c r="K23" s="12">
        <v>0.538885540726896</v>
      </c>
      <c r="L23" s="12">
        <v>0.149347306597951</v>
      </c>
      <c r="M23" s="12">
        <v>7.34572613387683E-6</v>
      </c>
      <c r="N23" s="12">
        <v>0.0291931660293772</v>
      </c>
      <c r="O23" s="12">
        <v>1.10666601150826</v>
      </c>
      <c r="P23" s="36">
        <v>1.88333069741829</v>
      </c>
      <c r="Q23" s="12">
        <v>0.304045374939349</v>
      </c>
      <c r="R23" s="12">
        <v>0.0783634110896576</v>
      </c>
      <c r="S23" s="12">
        <v>0.219298397450064</v>
      </c>
      <c r="T23" s="12">
        <v>0.00948762262901448</v>
      </c>
      <c r="U23" s="12">
        <v>0.0291931660293772</v>
      </c>
      <c r="V23" s="12">
        <v>1.72886788445757</v>
      </c>
      <c r="W23" s="37">
        <v>2.36925585659503</v>
      </c>
      <c r="X23" s="12">
        <v>0.0592313268296719</v>
      </c>
      <c r="Y23" s="12">
        <v>2.21145337245773</v>
      </c>
      <c r="Z23" s="12">
        <v>0.759826421409103</v>
      </c>
      <c r="AA23" s="12">
        <v>0.24255495721767</v>
      </c>
      <c r="AB23" s="12">
        <v>0.0291931660293772</v>
      </c>
      <c r="AC23" s="38">
        <v>3.30225924394356</v>
      </c>
      <c r="AD23" s="21">
        <v>0.93300338734853</v>
      </c>
      <c r="AE23" s="12">
        <v>1.4970430212791628</v>
      </c>
      <c r="AF23" s="12">
        <v>0.717465129650349</v>
      </c>
      <c r="AG23" s="34">
        <f t="shared" si="1"/>
        <v>243.8139685</v>
      </c>
    </row>
    <row r="24">
      <c r="A24" s="23" t="s">
        <v>62</v>
      </c>
      <c r="B24" s="24" t="s">
        <v>27</v>
      </c>
      <c r="C24" s="35">
        <v>71.3</v>
      </c>
      <c r="D24" s="26">
        <v>75.672</v>
      </c>
      <c r="E24" s="27">
        <v>0.762</v>
      </c>
      <c r="F24" s="28">
        <v>11075.624555423476</v>
      </c>
      <c r="G24" s="29" t="s">
        <v>42</v>
      </c>
      <c r="H24" s="24" t="s">
        <v>32</v>
      </c>
      <c r="I24" s="11">
        <v>209.469</v>
      </c>
      <c r="J24" s="12">
        <v>1.17864683102796</v>
      </c>
      <c r="K24" s="12">
        <v>0.81908964233782</v>
      </c>
      <c r="L24" s="12">
        <v>0.745900822677967</v>
      </c>
      <c r="M24" s="12">
        <v>0.0314743103959618</v>
      </c>
      <c r="N24" s="12">
        <v>0.128556159500955</v>
      </c>
      <c r="O24" s="12">
        <v>0.73037163362522</v>
      </c>
      <c r="P24" s="36">
        <v>3.63403939956588</v>
      </c>
      <c r="Q24" s="12">
        <v>0.593462963790421</v>
      </c>
      <c r="R24" s="12">
        <v>0.656062245538357</v>
      </c>
      <c r="S24" s="12">
        <v>0.465568715265041</v>
      </c>
      <c r="T24" s="12">
        <v>0.0409532931520262</v>
      </c>
      <c r="U24" s="12">
        <v>0.128556159500955</v>
      </c>
      <c r="V24" s="12">
        <v>0.703355807848312</v>
      </c>
      <c r="W24" s="37">
        <v>2.58795918509511</v>
      </c>
      <c r="X24" s="12">
        <v>1.17864683102796</v>
      </c>
      <c r="Y24" s="12">
        <v>0.81908964233782</v>
      </c>
      <c r="Z24" s="12">
        <v>6.32165367069396</v>
      </c>
      <c r="AA24" s="12">
        <v>0.161414176754917</v>
      </c>
      <c r="AB24" s="12">
        <v>0.128556159500955</v>
      </c>
      <c r="AC24" s="38">
        <v>8.60936048031561</v>
      </c>
      <c r="AD24" s="21">
        <v>6.0214012952205</v>
      </c>
      <c r="AE24" s="12">
        <v>1.6352333694216818</v>
      </c>
      <c r="AF24" s="12">
        <v>0.30059830704176044</v>
      </c>
      <c r="AG24" s="34">
        <f t="shared" si="1"/>
        <v>223.2097307</v>
      </c>
    </row>
    <row r="25">
      <c r="A25" s="23" t="s">
        <v>63</v>
      </c>
      <c r="B25" s="24" t="s">
        <v>27</v>
      </c>
      <c r="C25" s="35">
        <v>68.3</v>
      </c>
      <c r="D25" s="26">
        <v>75.722</v>
      </c>
      <c r="E25" s="27">
        <v>0.836</v>
      </c>
      <c r="F25" s="28">
        <v>31436.74303121887</v>
      </c>
      <c r="G25" s="29" t="s">
        <v>45</v>
      </c>
      <c r="H25" s="24" t="s">
        <v>40</v>
      </c>
      <c r="I25" s="11">
        <v>0.42896301269531195</v>
      </c>
      <c r="J25" s="12">
        <v>0.0151836835484413</v>
      </c>
      <c r="K25" s="12">
        <v>0.0105423539844249</v>
      </c>
      <c r="L25" s="12">
        <v>0.138670408965837</v>
      </c>
      <c r="M25" s="12">
        <v>0.252558802890595</v>
      </c>
      <c r="N25" s="12">
        <v>0.0218599498112835</v>
      </c>
      <c r="O25" s="12">
        <v>5.77186152775402</v>
      </c>
      <c r="P25" s="36">
        <v>6.2106767269546</v>
      </c>
      <c r="Q25" s="12">
        <v>0.520176432497796</v>
      </c>
      <c r="R25" s="12">
        <v>0.287176006038259</v>
      </c>
      <c r="S25" s="12">
        <v>0.202323039263345</v>
      </c>
      <c r="T25" s="12">
        <v>0.417119471675245</v>
      </c>
      <c r="U25" s="12">
        <v>0.0218599498112835</v>
      </c>
      <c r="V25" s="12">
        <v>3.96671404844111</v>
      </c>
      <c r="W25" s="37">
        <v>5.41536894772703</v>
      </c>
      <c r="X25" s="12">
        <v>0.0151836835484413</v>
      </c>
      <c r="Y25" s="12">
        <v>0.0105423539844249</v>
      </c>
      <c r="Z25" s="12">
        <v>1.46909184475751</v>
      </c>
      <c r="AA25" s="12">
        <v>1.19557712723477</v>
      </c>
      <c r="AB25" s="12">
        <v>0.0218599498112835</v>
      </c>
      <c r="AC25" s="38">
        <v>2.71225495933643</v>
      </c>
      <c r="AD25" s="17">
        <v>-2.7031139883906</v>
      </c>
      <c r="AE25" s="12">
        <v>3.4217664876843004</v>
      </c>
      <c r="AF25" s="12">
        <v>1.9966297523341736</v>
      </c>
      <c r="AG25" s="34">
        <f t="shared" si="1"/>
        <v>106.6700493</v>
      </c>
    </row>
    <row r="26">
      <c r="A26" s="23" t="s">
        <v>64</v>
      </c>
      <c r="B26" s="24" t="s">
        <v>56</v>
      </c>
      <c r="C26" s="35">
        <v>73.8</v>
      </c>
      <c r="D26" s="26">
        <v>74.9634</v>
      </c>
      <c r="E26" s="27">
        <v>0.813</v>
      </c>
      <c r="F26" s="28">
        <v>8642.040779556573</v>
      </c>
      <c r="G26" s="29" t="s">
        <v>47</v>
      </c>
      <c r="H26" s="24" t="s">
        <v>32</v>
      </c>
      <c r="I26" s="11">
        <v>7.05160986328126</v>
      </c>
      <c r="J26" s="12">
        <v>1.71355072899917</v>
      </c>
      <c r="K26" s="12">
        <v>0.083753514973288</v>
      </c>
      <c r="L26" s="12">
        <v>0.514531799738471</v>
      </c>
      <c r="M26" s="12">
        <v>0.00266817675226045</v>
      </c>
      <c r="N26" s="12">
        <v>0.171560419203059</v>
      </c>
      <c r="O26" s="12">
        <v>2.1058242585757</v>
      </c>
      <c r="P26" s="36">
        <v>4.59188889824195</v>
      </c>
      <c r="Q26" s="12">
        <v>0.706830982965451</v>
      </c>
      <c r="R26" s="12">
        <v>0.179062758076897</v>
      </c>
      <c r="S26" s="12">
        <v>0.462172255959698</v>
      </c>
      <c r="T26" s="12">
        <v>0.0370032196849953</v>
      </c>
      <c r="U26" s="12">
        <v>0.171560419203059</v>
      </c>
      <c r="V26" s="12">
        <v>2.06444024317878</v>
      </c>
      <c r="W26" s="37">
        <v>3.62106987906888</v>
      </c>
      <c r="X26" s="12">
        <v>1.71355072899917</v>
      </c>
      <c r="Y26" s="12">
        <v>0.0903820561282427</v>
      </c>
      <c r="Z26" s="12">
        <v>1.17810545420681</v>
      </c>
      <c r="AA26" s="12">
        <v>0.12270374230178</v>
      </c>
      <c r="AB26" s="12">
        <v>0.171560419203059</v>
      </c>
      <c r="AC26" s="38">
        <v>3.27630240083906</v>
      </c>
      <c r="AD26" s="17">
        <v>-0.3447674782298198</v>
      </c>
      <c r="AE26" s="12">
        <v>2.288016879618429</v>
      </c>
      <c r="AF26" s="12">
        <v>1.105230664343293</v>
      </c>
      <c r="AG26" s="34">
        <f t="shared" si="1"/>
        <v>159.5267951</v>
      </c>
    </row>
    <row r="27">
      <c r="A27" s="23" t="s">
        <v>65</v>
      </c>
      <c r="B27" s="24" t="s">
        <v>27</v>
      </c>
      <c r="C27" s="35">
        <v>53.5</v>
      </c>
      <c r="D27" s="26">
        <v>61.174</v>
      </c>
      <c r="E27" s="27">
        <v>0.443</v>
      </c>
      <c r="F27" s="28">
        <v>800.3139002101107</v>
      </c>
      <c r="G27" s="29" t="s">
        <v>34</v>
      </c>
      <c r="H27" s="24" t="s">
        <v>29</v>
      </c>
      <c r="I27" s="11">
        <v>19.7515</v>
      </c>
      <c r="J27" s="12">
        <v>0.548195216431469</v>
      </c>
      <c r="K27" s="12">
        <v>0.141871592283444</v>
      </c>
      <c r="L27" s="12">
        <v>0.31214920623696</v>
      </c>
      <c r="M27" s="12">
        <v>0.00417689357470588</v>
      </c>
      <c r="N27" s="12">
        <v>0.0715640973132055</v>
      </c>
      <c r="O27" s="12">
        <v>0.078631535911159</v>
      </c>
      <c r="P27" s="36">
        <v>1.15658854175094</v>
      </c>
      <c r="Q27" s="12">
        <v>0.498846401712048</v>
      </c>
      <c r="R27" s="12">
        <v>0.141710294635151</v>
      </c>
      <c r="S27" s="12">
        <v>0.313284145570886</v>
      </c>
      <c r="T27" s="12">
        <v>0.0467893914882404</v>
      </c>
      <c r="U27" s="12">
        <v>0.0715640973132055</v>
      </c>
      <c r="V27" s="12">
        <v>0.189091874863153</v>
      </c>
      <c r="W27" s="37">
        <v>1.26128620558268</v>
      </c>
      <c r="X27" s="12">
        <v>0.548195216431469</v>
      </c>
      <c r="Y27" s="12">
        <v>0.141871592283444</v>
      </c>
      <c r="Z27" s="12">
        <v>0.236016066298135</v>
      </c>
      <c r="AA27" s="12">
        <v>0.00114413669435352</v>
      </c>
      <c r="AB27" s="12">
        <v>0.0715640973132055</v>
      </c>
      <c r="AC27" s="38">
        <v>0.998791109020606</v>
      </c>
      <c r="AD27" s="17">
        <v>-0.2624950965620739</v>
      </c>
      <c r="AE27" s="12">
        <v>0.7969589720110887</v>
      </c>
      <c r="AF27" s="12">
        <v>1.2628128085956545</v>
      </c>
      <c r="AG27" s="39" t="str">
        <f t="shared" si="1"/>
        <v/>
      </c>
    </row>
    <row r="28">
      <c r="A28" s="23" t="s">
        <v>66</v>
      </c>
      <c r="B28" s="24" t="s">
        <v>27</v>
      </c>
      <c r="C28" s="35">
        <v>51.8</v>
      </c>
      <c r="D28" s="26">
        <v>61.247</v>
      </c>
      <c r="E28" s="27">
        <v>0.431</v>
      </c>
      <c r="F28" s="28">
        <v>210.80408018099374</v>
      </c>
      <c r="G28" s="29" t="s">
        <v>34</v>
      </c>
      <c r="H28" s="24" t="s">
        <v>29</v>
      </c>
      <c r="I28" s="11">
        <v>11.1754003906249</v>
      </c>
      <c r="J28" s="12">
        <v>0.400638268090781</v>
      </c>
      <c r="K28" s="12">
        <v>0.0582137342359947</v>
      </c>
      <c r="L28" s="12">
        <v>0.241266724280077</v>
      </c>
      <c r="M28" s="12">
        <v>0.00157278522872648</v>
      </c>
      <c r="N28" s="12">
        <v>0.0710949370455026</v>
      </c>
      <c r="O28" s="12">
        <v>0.0150073512097011</v>
      </c>
      <c r="P28" s="36">
        <v>0.787793800090782</v>
      </c>
      <c r="Q28" s="12">
        <v>0.412325453206913</v>
      </c>
      <c r="R28" s="12">
        <v>0.0590846360057628</v>
      </c>
      <c r="S28" s="12">
        <v>0.242643091547767</v>
      </c>
      <c r="T28" s="12">
        <v>0.00318456582439277</v>
      </c>
      <c r="U28" s="12">
        <v>0.0710949370455026</v>
      </c>
      <c r="V28" s="12">
        <v>0.045127633789812</v>
      </c>
      <c r="W28" s="37">
        <v>0.83346031742015</v>
      </c>
      <c r="X28" s="12">
        <v>0.400638268090781</v>
      </c>
      <c r="Y28" s="12">
        <v>0.0582137342359947</v>
      </c>
      <c r="Z28" s="12">
        <v>0.00844721182283496</v>
      </c>
      <c r="AA28" s="12">
        <v>0.00701231918472567</v>
      </c>
      <c r="AB28" s="12">
        <v>0.0710949370455026</v>
      </c>
      <c r="AC28" s="38">
        <v>0.545406470379839</v>
      </c>
      <c r="AD28" s="17">
        <v>-0.288053847040311</v>
      </c>
      <c r="AE28" s="12">
        <v>0.5266320006063497</v>
      </c>
      <c r="AF28" s="12">
        <v>1.52814526904989</v>
      </c>
      <c r="AG28" s="39" t="str">
        <f t="shared" si="1"/>
        <v/>
      </c>
    </row>
    <row r="29">
      <c r="A29" s="23" t="s">
        <v>67</v>
      </c>
      <c r="B29" s="24" t="s">
        <v>38</v>
      </c>
      <c r="C29" s="35">
        <v>68.1</v>
      </c>
      <c r="D29" s="26">
        <v>72.782</v>
      </c>
      <c r="E29" s="27">
        <v>0.663</v>
      </c>
      <c r="F29" s="28">
        <v>3740.0024132685367</v>
      </c>
      <c r="G29" s="29" t="s">
        <v>34</v>
      </c>
      <c r="H29" s="24" t="s">
        <v>36</v>
      </c>
      <c r="I29" s="11">
        <v>0.5437670288085931</v>
      </c>
      <c r="J29" s="30"/>
      <c r="K29" s="30"/>
      <c r="L29" s="30"/>
      <c r="M29" s="30"/>
      <c r="N29" s="30"/>
      <c r="O29" s="30"/>
      <c r="P29" s="36">
        <v>1.60858089824442</v>
      </c>
      <c r="Q29" s="30"/>
      <c r="R29" s="30"/>
      <c r="S29" s="30"/>
      <c r="T29" s="30"/>
      <c r="U29" s="30"/>
      <c r="V29" s="30"/>
      <c r="W29" s="37">
        <v>1.83415222311775</v>
      </c>
      <c r="X29" s="30"/>
      <c r="Y29" s="30"/>
      <c r="Z29" s="30"/>
      <c r="AA29" s="30"/>
      <c r="AB29" s="30"/>
      <c r="AC29" s="38">
        <v>0.474331615937812</v>
      </c>
      <c r="AD29" s="17">
        <v>-1.3598206071799381</v>
      </c>
      <c r="AE29" s="12">
        <v>1.1589313066121174</v>
      </c>
      <c r="AF29" s="12">
        <v>3.8668141896706705</v>
      </c>
      <c r="AG29" s="34">
        <f t="shared" si="1"/>
        <v>314.9453276</v>
      </c>
    </row>
    <row r="30">
      <c r="A30" s="23" t="s">
        <v>68</v>
      </c>
      <c r="B30" s="24" t="s">
        <v>38</v>
      </c>
      <c r="C30" s="35">
        <v>64.5</v>
      </c>
      <c r="D30" s="26">
        <v>69.57</v>
      </c>
      <c r="E30" s="27">
        <v>0.585</v>
      </c>
      <c r="F30" s="28">
        <v>1202.6240467505759</v>
      </c>
      <c r="G30" s="29" t="s">
        <v>45</v>
      </c>
      <c r="H30" s="24" t="s">
        <v>29</v>
      </c>
      <c r="I30" s="11">
        <v>16.2497998046875</v>
      </c>
      <c r="J30" s="30"/>
      <c r="K30" s="30"/>
      <c r="L30" s="30"/>
      <c r="M30" s="30"/>
      <c r="N30" s="30"/>
      <c r="O30" s="30"/>
      <c r="P30" s="36">
        <v>1.31457309109297</v>
      </c>
      <c r="Q30" s="30"/>
      <c r="R30" s="30"/>
      <c r="S30" s="30"/>
      <c r="T30" s="30"/>
      <c r="U30" s="30"/>
      <c r="V30" s="30"/>
      <c r="W30" s="37">
        <v>1.50140806941894</v>
      </c>
      <c r="X30" s="30"/>
      <c r="Y30" s="30"/>
      <c r="Z30" s="30"/>
      <c r="AA30" s="30"/>
      <c r="AB30" s="30"/>
      <c r="AC30" s="38">
        <v>1.19559415479015</v>
      </c>
      <c r="AD30" s="17">
        <v>-0.30581391462878993</v>
      </c>
      <c r="AE30" s="12">
        <v>0.9486828812343137</v>
      </c>
      <c r="AF30" s="12">
        <v>1.2557840496321815</v>
      </c>
      <c r="AG30" s="39" t="str">
        <f t="shared" si="1"/>
        <v/>
      </c>
    </row>
    <row r="31">
      <c r="A31" s="23" t="s">
        <v>69</v>
      </c>
      <c r="B31" s="24" t="s">
        <v>27</v>
      </c>
      <c r="C31" s="35">
        <v>55.3</v>
      </c>
      <c r="D31" s="26">
        <v>58.921</v>
      </c>
      <c r="E31" s="27">
        <v>0.56</v>
      </c>
      <c r="F31" s="28">
        <v>1502.1672024219145</v>
      </c>
      <c r="G31" s="29" t="s">
        <v>34</v>
      </c>
      <c r="H31" s="24" t="s">
        <v>36</v>
      </c>
      <c r="I31" s="11">
        <v>25.2163007812501</v>
      </c>
      <c r="J31" s="12">
        <v>0.573293252095208</v>
      </c>
      <c r="K31" s="12">
        <v>0.0821539891707505</v>
      </c>
      <c r="L31" s="12">
        <v>0.263563136042931</v>
      </c>
      <c r="M31" s="12">
        <v>0.0434632384733714</v>
      </c>
      <c r="N31" s="12">
        <v>0.0649273480586294</v>
      </c>
      <c r="O31" s="12">
        <v>0.0998343689159466</v>
      </c>
      <c r="P31" s="36">
        <v>1.12723533275684</v>
      </c>
      <c r="Q31" s="12">
        <v>0.567804777802726</v>
      </c>
      <c r="R31" s="12">
        <v>0.0871554795841537</v>
      </c>
      <c r="S31" s="12">
        <v>0.208839725756747</v>
      </c>
      <c r="T31" s="12">
        <v>0.0964269175778658</v>
      </c>
      <c r="U31" s="12">
        <v>0.0649273480586294</v>
      </c>
      <c r="V31" s="12">
        <v>0.188677012264052</v>
      </c>
      <c r="W31" s="37">
        <v>1.21383126104417</v>
      </c>
      <c r="X31" s="12">
        <v>0.573293252095208</v>
      </c>
      <c r="Y31" s="12">
        <v>0.0821539891707505</v>
      </c>
      <c r="Z31" s="12">
        <v>0.807051127858538</v>
      </c>
      <c r="AA31" s="12">
        <v>0.0666308595576038</v>
      </c>
      <c r="AB31" s="12">
        <v>0.0649273480586294</v>
      </c>
      <c r="AC31" s="38">
        <v>1.59405657674073</v>
      </c>
      <c r="AD31" s="21">
        <v>0.38022531569656004</v>
      </c>
      <c r="AE31" s="12">
        <v>0.7669739902925401</v>
      </c>
      <c r="AF31" s="12">
        <v>0.761473136371368</v>
      </c>
      <c r="AG31" s="39" t="str">
        <f t="shared" si="1"/>
        <v/>
      </c>
    </row>
    <row r="32">
      <c r="A32" s="23" t="s">
        <v>70</v>
      </c>
      <c r="B32" s="24" t="s">
        <v>27</v>
      </c>
      <c r="C32" s="35">
        <v>79.2</v>
      </c>
      <c r="D32" s="26">
        <v>82.0488</v>
      </c>
      <c r="E32" s="27">
        <v>0.928</v>
      </c>
      <c r="F32" s="28">
        <v>51517.748526039875</v>
      </c>
      <c r="G32" s="29" t="s">
        <v>71</v>
      </c>
      <c r="H32" s="24" t="s">
        <v>40</v>
      </c>
      <c r="I32" s="11">
        <v>37.0746015625</v>
      </c>
      <c r="J32" s="12">
        <v>2.75137036019306</v>
      </c>
      <c r="K32" s="12">
        <v>0.335031896072699</v>
      </c>
      <c r="L32" s="12">
        <v>2.92498446623489</v>
      </c>
      <c r="M32" s="12">
        <v>0.176004284262537</v>
      </c>
      <c r="N32" s="12">
        <v>0.0904776127663071</v>
      </c>
      <c r="O32" s="12">
        <v>5.44632992477602</v>
      </c>
      <c r="P32" s="36">
        <v>11.7241985443055</v>
      </c>
      <c r="Q32" s="12">
        <v>0.893169190417726</v>
      </c>
      <c r="R32" s="12">
        <v>0.288667957012874</v>
      </c>
      <c r="S32" s="12">
        <v>1.3560737849399</v>
      </c>
      <c r="T32" s="12">
        <v>0.146312491536123</v>
      </c>
      <c r="U32" s="12">
        <v>0.0904776127663071</v>
      </c>
      <c r="V32" s="12">
        <v>5.29034866968159</v>
      </c>
      <c r="W32" s="37">
        <v>8.06504970635452</v>
      </c>
      <c r="X32" s="12">
        <v>2.75137036019306</v>
      </c>
      <c r="Y32" s="12">
        <v>0.335031896072699</v>
      </c>
      <c r="Z32" s="12">
        <v>8.33169749146138</v>
      </c>
      <c r="AA32" s="12">
        <v>3.22803473338729</v>
      </c>
      <c r="AB32" s="12">
        <v>0.0904776127663071</v>
      </c>
      <c r="AC32" s="38">
        <v>14.7366120938807</v>
      </c>
      <c r="AD32" s="21">
        <v>6.67156238752618</v>
      </c>
      <c r="AE32" s="12">
        <v>5.095999381223149</v>
      </c>
      <c r="AF32" s="12">
        <v>0.5472797719703493</v>
      </c>
      <c r="AG32" s="34">
        <f t="shared" si="1"/>
        <v>71.62481246</v>
      </c>
    </row>
    <row r="33">
      <c r="A33" s="23" t="s">
        <v>72</v>
      </c>
      <c r="B33" s="24" t="s">
        <v>27</v>
      </c>
      <c r="C33" s="35">
        <v>38.3</v>
      </c>
      <c r="D33" s="26">
        <v>52.805</v>
      </c>
      <c r="E33" s="27">
        <v>0.395</v>
      </c>
      <c r="F33" s="28">
        <v>379.36553585401447</v>
      </c>
      <c r="G33" s="29" t="s">
        <v>34</v>
      </c>
      <c r="H33" s="24" t="s">
        <v>29</v>
      </c>
      <c r="I33" s="11">
        <v>4.66637011718751</v>
      </c>
      <c r="J33" s="12">
        <v>0.295875144563285</v>
      </c>
      <c r="K33" s="12">
        <v>0.551184166247712</v>
      </c>
      <c r="L33" s="12">
        <v>0.287267629621589</v>
      </c>
      <c r="M33" s="12">
        <v>0.00946268266347546</v>
      </c>
      <c r="N33" s="12">
        <v>0.0381276054583879</v>
      </c>
      <c r="O33" s="12">
        <v>0.0265234098929468</v>
      </c>
      <c r="P33" s="36">
        <v>1.2084406384474</v>
      </c>
      <c r="Q33" s="12">
        <v>0.316095053190077</v>
      </c>
      <c r="R33" s="12">
        <v>0.537719996802984</v>
      </c>
      <c r="S33" s="12">
        <v>0.259781213502962</v>
      </c>
      <c r="T33" s="12">
        <v>0.0172378653905667</v>
      </c>
      <c r="U33" s="12">
        <v>0.0381276054583879</v>
      </c>
      <c r="V33" s="12">
        <v>0.0348672180985765</v>
      </c>
      <c r="W33" s="37">
        <v>1.20382895244355</v>
      </c>
      <c r="X33" s="12">
        <v>0.295875144563285</v>
      </c>
      <c r="Y33" s="12">
        <v>0.551184166247712</v>
      </c>
      <c r="Z33" s="12">
        <v>6.62300119752983</v>
      </c>
      <c r="AA33" s="12">
        <v>0.0</v>
      </c>
      <c r="AB33" s="12">
        <v>0.0381276054583879</v>
      </c>
      <c r="AC33" s="38">
        <v>7.50818811379922</v>
      </c>
      <c r="AD33" s="21">
        <v>6.30435916135567</v>
      </c>
      <c r="AE33" s="12">
        <v>0.7606539104051959</v>
      </c>
      <c r="AF33" s="12">
        <v>0.16033548097057468</v>
      </c>
      <c r="AG33" s="39" t="str">
        <f t="shared" si="1"/>
        <v/>
      </c>
    </row>
    <row r="34">
      <c r="A34" s="23" t="s">
        <v>73</v>
      </c>
      <c r="B34" s="24" t="s">
        <v>27</v>
      </c>
      <c r="C34" s="35">
        <v>40.9</v>
      </c>
      <c r="D34" s="26">
        <v>53.977</v>
      </c>
      <c r="E34" s="27">
        <v>0.397</v>
      </c>
      <c r="F34" s="28">
        <v>812.019863507005</v>
      </c>
      <c r="G34" s="29" t="s">
        <v>34</v>
      </c>
      <c r="H34" s="24" t="s">
        <v>29</v>
      </c>
      <c r="I34" s="11">
        <v>15.4777001953125</v>
      </c>
      <c r="J34" s="12">
        <v>0.383660558319339</v>
      </c>
      <c r="K34" s="12">
        <v>0.923675469993327</v>
      </c>
      <c r="L34" s="12">
        <v>0.228610593824604</v>
      </c>
      <c r="M34" s="12">
        <v>0.0105262288559997</v>
      </c>
      <c r="N34" s="12">
        <v>0.0583413837311123</v>
      </c>
      <c r="O34" s="12">
        <v>0.0373808108540237</v>
      </c>
      <c r="P34" s="36">
        <v>1.64219504557841</v>
      </c>
      <c r="Q34" s="12">
        <v>0.386437962452531</v>
      </c>
      <c r="R34" s="12">
        <v>0.917651119858202</v>
      </c>
      <c r="S34" s="12">
        <v>0.228765076423924</v>
      </c>
      <c r="T34" s="12">
        <v>0.01074532258443</v>
      </c>
      <c r="U34" s="12">
        <v>0.0583413837311123</v>
      </c>
      <c r="V34" s="12">
        <v>0.0493849958643244</v>
      </c>
      <c r="W34" s="37">
        <v>1.65132586091452</v>
      </c>
      <c r="X34" s="12">
        <v>0.383660558319339</v>
      </c>
      <c r="Y34" s="12">
        <v>0.923675469993327</v>
      </c>
      <c r="Z34" s="12">
        <v>0.280083387216795</v>
      </c>
      <c r="AA34" s="12">
        <v>0.0584025162223199</v>
      </c>
      <c r="AB34" s="12">
        <v>0.0583413837311123</v>
      </c>
      <c r="AC34" s="38">
        <v>1.70416331548289</v>
      </c>
      <c r="AD34" s="21">
        <v>0.05283745456836986</v>
      </c>
      <c r="AE34" s="12">
        <v>1.043410254345712</v>
      </c>
      <c r="AF34" s="12">
        <v>0.9689950757135046</v>
      </c>
      <c r="AG34" s="34">
        <f t="shared" si="1"/>
        <v>349.8144651</v>
      </c>
    </row>
    <row r="35">
      <c r="A35" s="23" t="s">
        <v>74</v>
      </c>
      <c r="B35" s="24" t="s">
        <v>27</v>
      </c>
      <c r="C35" s="35">
        <v>77.1</v>
      </c>
      <c r="D35" s="26">
        <v>80.042</v>
      </c>
      <c r="E35" s="27">
        <v>0.849</v>
      </c>
      <c r="F35" s="28">
        <v>15110.096096190044</v>
      </c>
      <c r="G35" s="29" t="s">
        <v>42</v>
      </c>
      <c r="H35" s="24" t="s">
        <v>32</v>
      </c>
      <c r="I35" s="11">
        <v>18.72919921875</v>
      </c>
      <c r="J35" s="12">
        <v>0.325363403692681</v>
      </c>
      <c r="K35" s="12">
        <v>0.198512049307949</v>
      </c>
      <c r="L35" s="12">
        <v>2.08815552813808</v>
      </c>
      <c r="M35" s="12">
        <v>0.359350555441888</v>
      </c>
      <c r="N35" s="12">
        <v>0.116853293514952</v>
      </c>
      <c r="O35" s="12">
        <v>1.6654790392317</v>
      </c>
      <c r="P35" s="36">
        <v>4.75371386932725</v>
      </c>
      <c r="Q35" s="12">
        <v>0.601555196263652</v>
      </c>
      <c r="R35" s="12">
        <v>0.419376315899883</v>
      </c>
      <c r="S35" s="12">
        <v>1.08750933366462</v>
      </c>
      <c r="T35" s="12">
        <v>0.172755477858862</v>
      </c>
      <c r="U35" s="12">
        <v>0.116853293514952</v>
      </c>
      <c r="V35" s="12">
        <v>1.89515672650994</v>
      </c>
      <c r="W35" s="37">
        <v>4.2932063437119</v>
      </c>
      <c r="X35" s="12">
        <v>0.325363403692681</v>
      </c>
      <c r="Y35" s="12">
        <v>0.4178462461928</v>
      </c>
      <c r="Z35" s="12">
        <v>2.12094205846502</v>
      </c>
      <c r="AA35" s="12">
        <v>0.354819635321136</v>
      </c>
      <c r="AB35" s="12">
        <v>0.116853293514952</v>
      </c>
      <c r="AC35" s="38">
        <v>3.33582463718659</v>
      </c>
      <c r="AD35" s="17">
        <v>-0.9573817065253105</v>
      </c>
      <c r="AE35" s="12">
        <v>2.7127144490853103</v>
      </c>
      <c r="AF35" s="12">
        <v>1.2870000106878399</v>
      </c>
      <c r="AG35" s="34">
        <f t="shared" si="1"/>
        <v>134.5515744</v>
      </c>
    </row>
    <row r="36">
      <c r="A36" s="23" t="s">
        <v>75</v>
      </c>
      <c r="B36" s="24" t="s">
        <v>27</v>
      </c>
      <c r="C36" s="35">
        <v>72.1</v>
      </c>
      <c r="D36" s="26">
        <v>76.704</v>
      </c>
      <c r="E36" s="27">
        <v>0.755</v>
      </c>
      <c r="F36" s="28">
        <v>7468.925159999503</v>
      </c>
      <c r="G36" s="29" t="s">
        <v>45</v>
      </c>
      <c r="H36" s="24" t="s">
        <v>32</v>
      </c>
      <c r="I36" s="11">
        <v>1459.3799999999899</v>
      </c>
      <c r="J36" s="12">
        <v>0.454208228129585</v>
      </c>
      <c r="K36" s="12">
        <v>0.0991133741128563</v>
      </c>
      <c r="L36" s="12">
        <v>0.12852887208319</v>
      </c>
      <c r="M36" s="12">
        <v>0.0636809865586295</v>
      </c>
      <c r="N36" s="12">
        <v>0.107280341174366</v>
      </c>
      <c r="O36" s="12">
        <v>2.59962139077406</v>
      </c>
      <c r="P36" s="36">
        <v>3.45243319283268</v>
      </c>
      <c r="Q36" s="12">
        <v>0.569592307296371</v>
      </c>
      <c r="R36" s="12">
        <v>0.144927292980504</v>
      </c>
      <c r="S36" s="12">
        <v>0.223991873302627</v>
      </c>
      <c r="T36" s="12">
        <v>0.071745852205007</v>
      </c>
      <c r="U36" s="12">
        <v>0.107280341174366</v>
      </c>
      <c r="V36" s="12">
        <v>2.67919568107786</v>
      </c>
      <c r="W36" s="37">
        <v>3.79673334803674</v>
      </c>
      <c r="X36" s="12">
        <v>0.454208228129585</v>
      </c>
      <c r="Y36" s="12">
        <v>0.0991133741128563</v>
      </c>
      <c r="Z36" s="12">
        <v>0.221132844336468</v>
      </c>
      <c r="AA36" s="12">
        <v>0.0416626457918015</v>
      </c>
      <c r="AB36" s="12">
        <v>0.107280341174366</v>
      </c>
      <c r="AC36" s="38">
        <v>0.923397433545077</v>
      </c>
      <c r="AD36" s="17">
        <v>-2.873335914491663</v>
      </c>
      <c r="AE36" s="12">
        <v>2.399011971001239</v>
      </c>
      <c r="AF36" s="12">
        <v>4.111700130528246</v>
      </c>
      <c r="AG36" s="34">
        <f t="shared" si="1"/>
        <v>152.1459686</v>
      </c>
    </row>
    <row r="37">
      <c r="A37" s="23" t="s">
        <v>76</v>
      </c>
      <c r="B37" s="24" t="s">
        <v>27</v>
      </c>
      <c r="C37" s="35">
        <v>70.6</v>
      </c>
      <c r="D37" s="26">
        <v>77.109</v>
      </c>
      <c r="E37" s="27">
        <v>0.764</v>
      </c>
      <c r="F37" s="28">
        <v>7692.1527959566165</v>
      </c>
      <c r="G37" s="29" t="s">
        <v>42</v>
      </c>
      <c r="H37" s="24" t="s">
        <v>32</v>
      </c>
      <c r="I37" s="11">
        <v>49.660999999999795</v>
      </c>
      <c r="J37" s="12">
        <v>0.249719606972251</v>
      </c>
      <c r="K37" s="12">
        <v>0.629378278604399</v>
      </c>
      <c r="L37" s="12">
        <v>0.0835005081236358</v>
      </c>
      <c r="M37" s="12">
        <v>0.0230283083237306</v>
      </c>
      <c r="N37" s="12">
        <v>0.0362214590642186</v>
      </c>
      <c r="O37" s="12">
        <v>0.529525587879931</v>
      </c>
      <c r="P37" s="36">
        <v>1.55137374896817</v>
      </c>
      <c r="Q37" s="12">
        <v>0.380052458649219</v>
      </c>
      <c r="R37" s="12">
        <v>0.613313435371718</v>
      </c>
      <c r="S37" s="12">
        <v>0.114432191260665</v>
      </c>
      <c r="T37" s="12">
        <v>0.0408992268272754</v>
      </c>
      <c r="U37" s="12">
        <v>0.0362214590642186</v>
      </c>
      <c r="V37" s="12">
        <v>0.67170918514361</v>
      </c>
      <c r="W37" s="37">
        <v>1.85662795631671</v>
      </c>
      <c r="X37" s="12">
        <v>0.249719606972251</v>
      </c>
      <c r="Y37" s="12">
        <v>1.09914159302959</v>
      </c>
      <c r="Z37" s="12">
        <v>1.98830071671341</v>
      </c>
      <c r="AA37" s="12">
        <v>0.0657033736431025</v>
      </c>
      <c r="AB37" s="12">
        <v>0.0362214590642186</v>
      </c>
      <c r="AC37" s="38">
        <v>3.43908674942258</v>
      </c>
      <c r="AD37" s="21">
        <v>1.58245879310587</v>
      </c>
      <c r="AE37" s="12">
        <v>1.1731328709724949</v>
      </c>
      <c r="AF37" s="12">
        <v>0.5398607512963831</v>
      </c>
      <c r="AG37" s="34">
        <f t="shared" si="1"/>
        <v>311.132702</v>
      </c>
    </row>
    <row r="38">
      <c r="A38" s="23" t="s">
        <v>77</v>
      </c>
      <c r="B38" s="24" t="s">
        <v>38</v>
      </c>
      <c r="C38" s="25"/>
      <c r="D38" s="26">
        <v>64.118</v>
      </c>
      <c r="E38" s="27">
        <v>0.552</v>
      </c>
      <c r="F38" s="28">
        <v>1402.7383270693822</v>
      </c>
      <c r="G38" s="29" t="s">
        <v>34</v>
      </c>
      <c r="H38" s="24" t="s">
        <v>29</v>
      </c>
      <c r="I38" s="11">
        <v>0.8323220214843761</v>
      </c>
      <c r="J38" s="30"/>
      <c r="K38" s="30"/>
      <c r="L38" s="30"/>
      <c r="M38" s="30"/>
      <c r="N38" s="30"/>
      <c r="O38" s="30"/>
      <c r="P38" s="36">
        <v>0.889176856266902</v>
      </c>
      <c r="Q38" s="30"/>
      <c r="R38" s="30"/>
      <c r="S38" s="30"/>
      <c r="T38" s="30"/>
      <c r="U38" s="30"/>
      <c r="V38" s="30"/>
      <c r="W38" s="37">
        <v>1.19337515186407</v>
      </c>
      <c r="X38" s="30"/>
      <c r="Y38" s="30"/>
      <c r="Z38" s="30"/>
      <c r="AA38" s="30"/>
      <c r="AB38" s="30"/>
      <c r="AC38" s="38">
        <v>0.352037535962415</v>
      </c>
      <c r="AD38" s="17">
        <v>-0.841337615901655</v>
      </c>
      <c r="AE38" s="12">
        <v>0.7540485498402777</v>
      </c>
      <c r="AF38" s="12">
        <v>3.3899088306068585</v>
      </c>
      <c r="AG38" s="39" t="str">
        <f t="shared" si="1"/>
        <v/>
      </c>
    </row>
    <row r="39">
      <c r="A39" s="23" t="s">
        <v>78</v>
      </c>
      <c r="B39" s="24" t="s">
        <v>27</v>
      </c>
      <c r="C39" s="35">
        <v>52.9</v>
      </c>
      <c r="D39" s="26">
        <v>64.29</v>
      </c>
      <c r="E39" s="27">
        <v>0.573</v>
      </c>
      <c r="F39" s="28">
        <v>2303.979954655527</v>
      </c>
      <c r="G39" s="29" t="s">
        <v>34</v>
      </c>
      <c r="H39" s="24" t="s">
        <v>36</v>
      </c>
      <c r="I39" s="11">
        <v>5.24435986328125</v>
      </c>
      <c r="J39" s="12">
        <v>0.125635323141426</v>
      </c>
      <c r="K39" s="12">
        <v>0.0419743939547703</v>
      </c>
      <c r="L39" s="12">
        <v>0.428541875720879</v>
      </c>
      <c r="M39" s="12">
        <v>0.0960274470026505</v>
      </c>
      <c r="N39" s="12">
        <v>0.0352249030871305</v>
      </c>
      <c r="O39" s="12">
        <v>0.21288231863476</v>
      </c>
      <c r="P39" s="36">
        <v>0.940286261541616</v>
      </c>
      <c r="Q39" s="12">
        <v>0.272559186851086</v>
      </c>
      <c r="R39" s="12">
        <v>0.071847417074778</v>
      </c>
      <c r="S39" s="12">
        <v>0.283098251860799</v>
      </c>
      <c r="T39" s="12">
        <v>0.14544537132602</v>
      </c>
      <c r="U39" s="12">
        <v>0.0352249030871305</v>
      </c>
      <c r="V39" s="12">
        <v>0.219899449154509</v>
      </c>
      <c r="W39" s="37">
        <v>1.02807457935432</v>
      </c>
      <c r="X39" s="12">
        <v>0.125635323141426</v>
      </c>
      <c r="Y39" s="12">
        <v>2.53342318917625</v>
      </c>
      <c r="Z39" s="12">
        <v>5.79108732124404</v>
      </c>
      <c r="AA39" s="12">
        <v>0.292238215078957</v>
      </c>
      <c r="AB39" s="12">
        <v>0.0352249030871305</v>
      </c>
      <c r="AC39" s="38">
        <v>8.7776089517278</v>
      </c>
      <c r="AD39" s="21">
        <v>7.749534372373479</v>
      </c>
      <c r="AE39" s="12">
        <v>0.6496013801518122</v>
      </c>
      <c r="AF39" s="12">
        <v>0.11712467313230582</v>
      </c>
      <c r="AG39" s="39" t="str">
        <f t="shared" si="1"/>
        <v/>
      </c>
    </row>
    <row r="40">
      <c r="A40" s="23" t="s">
        <v>79</v>
      </c>
      <c r="B40" s="24" t="s">
        <v>27</v>
      </c>
      <c r="C40" s="35">
        <v>49.3</v>
      </c>
      <c r="D40" s="26">
        <v>60.368</v>
      </c>
      <c r="E40" s="27">
        <v>0.478</v>
      </c>
      <c r="F40" s="28">
        <v>418.9888833615827</v>
      </c>
      <c r="G40" s="29" t="s">
        <v>34</v>
      </c>
      <c r="H40" s="24" t="s">
        <v>29</v>
      </c>
      <c r="I40" s="11">
        <v>84.0681015625</v>
      </c>
      <c r="J40" s="12">
        <v>0.208885570147107</v>
      </c>
      <c r="K40" s="12">
        <v>0.00835102484398185</v>
      </c>
      <c r="L40" s="12">
        <v>0.422197690737425</v>
      </c>
      <c r="M40" s="12">
        <v>0.00529529691478538</v>
      </c>
      <c r="N40" s="12">
        <v>0.0608518219872606</v>
      </c>
      <c r="O40" s="12">
        <v>0.00927517378275823</v>
      </c>
      <c r="P40" s="36">
        <v>0.714856578413318</v>
      </c>
      <c r="Q40" s="12">
        <v>0.224335307895646</v>
      </c>
      <c r="R40" s="12">
        <v>0.0100739821946191</v>
      </c>
      <c r="S40" s="12">
        <v>0.421817933473999</v>
      </c>
      <c r="T40" s="12">
        <v>0.0159806977985287</v>
      </c>
      <c r="U40" s="12">
        <v>0.0608518219872606</v>
      </c>
      <c r="V40" s="12">
        <v>0.0489688611183723</v>
      </c>
      <c r="W40" s="37">
        <v>0.782028604468426</v>
      </c>
      <c r="X40" s="12">
        <v>0.208885570147107</v>
      </c>
      <c r="Y40" s="12">
        <v>0.250075268433282</v>
      </c>
      <c r="Z40" s="12">
        <v>1.6036486078802</v>
      </c>
      <c r="AA40" s="12">
        <v>0.0360784258997131</v>
      </c>
      <c r="AB40" s="12">
        <v>0.0608518219872606</v>
      </c>
      <c r="AC40" s="38">
        <v>2.15953969434756</v>
      </c>
      <c r="AD40" s="21">
        <v>1.377511089879134</v>
      </c>
      <c r="AE40" s="12">
        <v>0.49413424957938157</v>
      </c>
      <c r="AF40" s="12">
        <v>0.36212745082451125</v>
      </c>
      <c r="AG40" s="39" t="str">
        <f t="shared" si="1"/>
        <v/>
      </c>
    </row>
    <row r="41">
      <c r="A41" s="23" t="s">
        <v>80</v>
      </c>
      <c r="B41" s="24" t="s">
        <v>27</v>
      </c>
      <c r="C41" s="35">
        <v>73.6</v>
      </c>
      <c r="D41" s="26">
        <v>80.095</v>
      </c>
      <c r="E41" s="27">
        <v>0.808</v>
      </c>
      <c r="F41" s="28">
        <v>9936.593014862094</v>
      </c>
      <c r="G41" s="29" t="s">
        <v>39</v>
      </c>
      <c r="H41" s="24" t="s">
        <v>32</v>
      </c>
      <c r="I41" s="11">
        <v>4.99943994140626</v>
      </c>
      <c r="J41" s="12">
        <v>0.362838022539974</v>
      </c>
      <c r="K41" s="12">
        <v>0.271990943710331</v>
      </c>
      <c r="L41" s="12">
        <v>0.429596456559841</v>
      </c>
      <c r="M41" s="12">
        <v>0.0461857866293961</v>
      </c>
      <c r="N41" s="12">
        <v>0.089595767700434</v>
      </c>
      <c r="O41" s="12">
        <v>0.558865304963722</v>
      </c>
      <c r="P41" s="36">
        <v>1.7590722821037</v>
      </c>
      <c r="Q41" s="12">
        <v>0.378971683092413</v>
      </c>
      <c r="R41" s="12">
        <v>0.206490981225081</v>
      </c>
      <c r="S41" s="12">
        <v>0.661118263842796</v>
      </c>
      <c r="T41" s="12">
        <v>0.0981642294746287</v>
      </c>
      <c r="U41" s="12">
        <v>0.089595767700434</v>
      </c>
      <c r="V41" s="12">
        <v>1.01190618035693</v>
      </c>
      <c r="W41" s="37">
        <v>2.44624710569229</v>
      </c>
      <c r="X41" s="12">
        <v>0.362838022539974</v>
      </c>
      <c r="Y41" s="12">
        <v>0.271990943710331</v>
      </c>
      <c r="Z41" s="12">
        <v>0.663899096578462</v>
      </c>
      <c r="AA41" s="12">
        <v>0.114140529697404</v>
      </c>
      <c r="AB41" s="12">
        <v>0.089595767700434</v>
      </c>
      <c r="AC41" s="38">
        <v>1.50246436022661</v>
      </c>
      <c r="AD41" s="17">
        <v>-0.9437827454656802</v>
      </c>
      <c r="AE41" s="12">
        <v>1.5456908749247642</v>
      </c>
      <c r="AF41" s="12">
        <v>1.6281564943898794</v>
      </c>
      <c r="AG41" s="34">
        <f t="shared" si="1"/>
        <v>236.1403602</v>
      </c>
    </row>
    <row r="42">
      <c r="A42" s="23" t="s">
        <v>81</v>
      </c>
      <c r="B42" s="24" t="s">
        <v>27</v>
      </c>
      <c r="C42" s="35">
        <v>57.6</v>
      </c>
      <c r="D42" s="26">
        <v>57.422</v>
      </c>
      <c r="E42" s="27">
        <v>0.534</v>
      </c>
      <c r="F42" s="28">
        <v>1667.9431853860758</v>
      </c>
      <c r="G42" s="29" t="s">
        <v>34</v>
      </c>
      <c r="H42" s="24" t="s">
        <v>36</v>
      </c>
      <c r="I42" s="11">
        <v>25.06919921875</v>
      </c>
      <c r="J42" s="12">
        <v>1.07573300978485</v>
      </c>
      <c r="K42" s="12">
        <v>0.0186592773159155</v>
      </c>
      <c r="L42" s="12">
        <v>0.2052249708808</v>
      </c>
      <c r="M42" s="12">
        <v>0.0419329571277421</v>
      </c>
      <c r="N42" s="12">
        <v>0.110831564227826</v>
      </c>
      <c r="O42" s="12">
        <v>0.15120394875043</v>
      </c>
      <c r="P42" s="36">
        <v>1.60358572808756</v>
      </c>
      <c r="Q42" s="12">
        <v>0.573612921124124</v>
      </c>
      <c r="R42" s="12">
        <v>0.0444125176857928</v>
      </c>
      <c r="S42" s="12">
        <v>0.215035431115164</v>
      </c>
      <c r="T42" s="12">
        <v>0.189740969021868</v>
      </c>
      <c r="U42" s="12">
        <v>0.110831564227826</v>
      </c>
      <c r="V42" s="12">
        <v>0.262749440538295</v>
      </c>
      <c r="W42" s="37">
        <v>1.39638284371307</v>
      </c>
      <c r="X42" s="12">
        <v>1.07573300978485</v>
      </c>
      <c r="Y42" s="12">
        <v>0.460986541447211</v>
      </c>
      <c r="Z42" s="12">
        <v>0.108047998259597</v>
      </c>
      <c r="AA42" s="12">
        <v>0.0328941626820584</v>
      </c>
      <c r="AB42" s="12">
        <v>0.110831564227826</v>
      </c>
      <c r="AC42" s="38">
        <v>1.78849327640154</v>
      </c>
      <c r="AD42" s="21">
        <v>0.3921104326884699</v>
      </c>
      <c r="AE42" s="12">
        <v>0.8823214197806739</v>
      </c>
      <c r="AF42" s="12">
        <v>0.7807593476239404</v>
      </c>
      <c r="AG42" s="39" t="str">
        <f t="shared" si="1"/>
        <v/>
      </c>
    </row>
    <row r="43">
      <c r="A43" s="23" t="s">
        <v>82</v>
      </c>
      <c r="B43" s="24" t="s">
        <v>27</v>
      </c>
      <c r="C43" s="35">
        <v>80.4</v>
      </c>
      <c r="D43" s="26">
        <v>78.0707</v>
      </c>
      <c r="E43" s="27">
        <v>0.848</v>
      </c>
      <c r="F43" s="28">
        <v>15707.704151177855</v>
      </c>
      <c r="G43" s="29" t="s">
        <v>31</v>
      </c>
      <c r="H43" s="24" t="s">
        <v>40</v>
      </c>
      <c r="I43" s="11">
        <v>4.156399902343741</v>
      </c>
      <c r="J43" s="12">
        <v>0.707251724369652</v>
      </c>
      <c r="K43" s="12">
        <v>0.0328763898856869</v>
      </c>
      <c r="L43" s="12">
        <v>0.772826226064721</v>
      </c>
      <c r="M43" s="12">
        <v>0.0471763609481186</v>
      </c>
      <c r="N43" s="12">
        <v>0.0779440821191596</v>
      </c>
      <c r="O43" s="12">
        <v>1.43189277206336</v>
      </c>
      <c r="P43" s="36">
        <v>3.0699675554507</v>
      </c>
      <c r="Q43" s="12">
        <v>0.621641785924113</v>
      </c>
      <c r="R43" s="12">
        <v>0.178736183528962</v>
      </c>
      <c r="S43" s="12">
        <v>0.648162337678429</v>
      </c>
      <c r="T43" s="12">
        <v>0.0780686859205364</v>
      </c>
      <c r="U43" s="12">
        <v>0.0779440821191596</v>
      </c>
      <c r="V43" s="12">
        <v>2.27631149753694</v>
      </c>
      <c r="W43" s="37">
        <v>3.88086457270814</v>
      </c>
      <c r="X43" s="12">
        <v>0.707251724369652</v>
      </c>
      <c r="Y43" s="12">
        <v>0.139069745841961</v>
      </c>
      <c r="Z43" s="12">
        <v>1.56322944073422</v>
      </c>
      <c r="AA43" s="12">
        <v>0.344997389728195</v>
      </c>
      <c r="AB43" s="12">
        <v>0.0779440821191596</v>
      </c>
      <c r="AC43" s="38">
        <v>2.83249238279318</v>
      </c>
      <c r="AD43" s="17">
        <v>-1.0483721899149598</v>
      </c>
      <c r="AE43" s="12">
        <v>2.4521713047284943</v>
      </c>
      <c r="AF43" s="12">
        <v>1.370123569010674</v>
      </c>
      <c r="AG43" s="34">
        <f t="shared" si="1"/>
        <v>148.8476761</v>
      </c>
    </row>
    <row r="44">
      <c r="A44" s="23" t="s">
        <v>83</v>
      </c>
      <c r="B44" s="24" t="s">
        <v>27</v>
      </c>
      <c r="C44" s="35">
        <v>73.7</v>
      </c>
      <c r="D44" s="26">
        <v>78.726</v>
      </c>
      <c r="E44" s="27">
        <v>0.781</v>
      </c>
      <c r="F44" s="28">
        <v>6816.918413390201</v>
      </c>
      <c r="G44" s="29" t="s">
        <v>39</v>
      </c>
      <c r="H44" s="24" t="s">
        <v>32</v>
      </c>
      <c r="I44" s="11">
        <v>11.338099609374899</v>
      </c>
      <c r="J44" s="12">
        <v>0.252166932497611</v>
      </c>
      <c r="K44" s="12">
        <v>0.0894424817710252</v>
      </c>
      <c r="L44" s="12">
        <v>0.0753510270783128</v>
      </c>
      <c r="M44" s="12">
        <v>0.0118550778760537</v>
      </c>
      <c r="N44" s="12">
        <v>0.0248914442320808</v>
      </c>
      <c r="O44" s="12">
        <v>0.802846072161055</v>
      </c>
      <c r="P44" s="36">
        <v>1.25655303561614</v>
      </c>
      <c r="Q44" s="12">
        <v>0.53950001698205</v>
      </c>
      <c r="R44" s="12">
        <v>0.115731559637746</v>
      </c>
      <c r="S44" s="12">
        <v>0.0831360381098848</v>
      </c>
      <c r="T44" s="12">
        <v>0.0265939004230402</v>
      </c>
      <c r="U44" s="12">
        <v>0.0248914442320808</v>
      </c>
      <c r="V44" s="12">
        <v>0.971251669620589</v>
      </c>
      <c r="W44" s="37">
        <v>1.76110462900539</v>
      </c>
      <c r="X44" s="12">
        <v>0.252166932497611</v>
      </c>
      <c r="Y44" s="12">
        <v>0.0894424817710252</v>
      </c>
      <c r="Z44" s="12">
        <v>0.237098029501083</v>
      </c>
      <c r="AA44" s="12">
        <v>0.164884616661601</v>
      </c>
      <c r="AB44" s="12">
        <v>0.0248914442320808</v>
      </c>
      <c r="AC44" s="38">
        <v>0.768483504663401</v>
      </c>
      <c r="AD44" s="17">
        <v>-0.992621124341989</v>
      </c>
      <c r="AE44" s="12">
        <v>1.1127752991540198</v>
      </c>
      <c r="AF44" s="12">
        <v>2.291662239096155</v>
      </c>
      <c r="AG44" s="34">
        <f t="shared" si="1"/>
        <v>328.0087186</v>
      </c>
    </row>
    <row r="45">
      <c r="A45" s="23" t="s">
        <v>84</v>
      </c>
      <c r="B45" s="24" t="s">
        <v>38</v>
      </c>
      <c r="C45" s="35">
        <v>74.9</v>
      </c>
      <c r="D45" s="26">
        <v>80.828</v>
      </c>
      <c r="E45" s="27">
        <v>0.885</v>
      </c>
      <c r="F45" s="28">
        <v>23394.93936874519</v>
      </c>
      <c r="G45" s="29" t="s">
        <v>47</v>
      </c>
      <c r="H45" s="24" t="s">
        <v>40</v>
      </c>
      <c r="I45" s="11">
        <v>1.18927001953125</v>
      </c>
      <c r="J45" s="30"/>
      <c r="K45" s="30"/>
      <c r="L45" s="30"/>
      <c r="M45" s="30"/>
      <c r="N45" s="30"/>
      <c r="O45" s="30"/>
      <c r="P45" s="36">
        <v>2.0992040652454</v>
      </c>
      <c r="Q45" s="30"/>
      <c r="R45" s="30"/>
      <c r="S45" s="30"/>
      <c r="T45" s="30"/>
      <c r="U45" s="30"/>
      <c r="V45" s="30"/>
      <c r="W45" s="37">
        <v>3.85016788334156</v>
      </c>
      <c r="X45" s="30"/>
      <c r="Y45" s="30"/>
      <c r="Z45" s="30"/>
      <c r="AA45" s="30"/>
      <c r="AB45" s="30"/>
      <c r="AC45" s="38">
        <v>0.205836195259047</v>
      </c>
      <c r="AD45" s="17">
        <v>-3.644331688082513</v>
      </c>
      <c r="AE45" s="12">
        <v>2.4327752296002236</v>
      </c>
      <c r="AF45" s="12">
        <v>18.705008992689955</v>
      </c>
      <c r="AG45" s="34">
        <f t="shared" si="1"/>
        <v>150.0344115</v>
      </c>
    </row>
    <row r="46">
      <c r="A46" s="23" t="s">
        <v>85</v>
      </c>
      <c r="B46" s="24" t="s">
        <v>27</v>
      </c>
      <c r="C46" s="35">
        <v>81.4</v>
      </c>
      <c r="D46" s="26">
        <v>79.0293</v>
      </c>
      <c r="E46" s="27">
        <v>0.898</v>
      </c>
      <c r="F46" s="28">
        <v>23720.8992721539</v>
      </c>
      <c r="G46" s="29" t="s">
        <v>47</v>
      </c>
      <c r="H46" s="24" t="s">
        <v>40</v>
      </c>
      <c r="I46" s="11">
        <v>10.6657001953125</v>
      </c>
      <c r="J46" s="12">
        <v>0.852452413995418</v>
      </c>
      <c r="K46" s="12">
        <v>0.0783050962092146</v>
      </c>
      <c r="L46" s="12">
        <v>1.54531997460859</v>
      </c>
      <c r="M46" s="12">
        <v>0.0014894260502505</v>
      </c>
      <c r="N46" s="12">
        <v>0.123454604833586</v>
      </c>
      <c r="O46" s="12">
        <v>3.3420830422821</v>
      </c>
      <c r="P46" s="36">
        <v>5.94310455797916</v>
      </c>
      <c r="Q46" s="12">
        <v>0.656119263637913</v>
      </c>
      <c r="R46" s="12">
        <v>0.329684497469213</v>
      </c>
      <c r="S46" s="12">
        <v>1.07574302706189</v>
      </c>
      <c r="T46" s="12">
        <v>0.0391080339773337</v>
      </c>
      <c r="U46" s="12">
        <v>0.123454604833586</v>
      </c>
      <c r="V46" s="12">
        <v>3.49352351751608</v>
      </c>
      <c r="W46" s="37">
        <v>5.71763294449601</v>
      </c>
      <c r="X46" s="12">
        <v>0.852452413995418</v>
      </c>
      <c r="Y46" s="12">
        <v>0.0783050962092146</v>
      </c>
      <c r="Z46" s="12">
        <v>1.27301728354201</v>
      </c>
      <c r="AA46" s="12">
        <v>0.00199576675165565</v>
      </c>
      <c r="AB46" s="12">
        <v>0.123454604833586</v>
      </c>
      <c r="AC46" s="38">
        <v>2.32922516533189</v>
      </c>
      <c r="AD46" s="17">
        <v>-3.3884077791641203</v>
      </c>
      <c r="AE46" s="12">
        <v>3.612755656577719</v>
      </c>
      <c r="AF46" s="12">
        <v>2.454736033938268</v>
      </c>
      <c r="AG46" s="34">
        <f t="shared" si="1"/>
        <v>101.0309123</v>
      </c>
    </row>
    <row r="47">
      <c r="A47" s="23" t="s">
        <v>86</v>
      </c>
      <c r="B47" s="24" t="s">
        <v>27</v>
      </c>
      <c r="C47" s="35">
        <v>84.9</v>
      </c>
      <c r="D47" s="26">
        <v>80.9537</v>
      </c>
      <c r="E47" s="27">
        <v>0.939</v>
      </c>
      <c r="F47" s="28">
        <v>64671.69684598826</v>
      </c>
      <c r="G47" s="29" t="s">
        <v>47</v>
      </c>
      <c r="H47" s="24" t="s">
        <v>40</v>
      </c>
      <c r="I47" s="11">
        <v>5.7521298828125</v>
      </c>
      <c r="J47" s="12">
        <v>1.35691122972354</v>
      </c>
      <c r="K47" s="12">
        <v>0.00903610769621985</v>
      </c>
      <c r="L47" s="12">
        <v>0.350006813183871</v>
      </c>
      <c r="M47" s="12">
        <v>0.572613727471708</v>
      </c>
      <c r="N47" s="12">
        <v>0.158076648337212</v>
      </c>
      <c r="O47" s="12">
        <v>1.94824709004259</v>
      </c>
      <c r="P47" s="36">
        <v>4.39489161645514</v>
      </c>
      <c r="Q47" s="12">
        <v>0.702308675535776</v>
      </c>
      <c r="R47" s="12">
        <v>0.469323949930319</v>
      </c>
      <c r="S47" s="12">
        <v>1.06115959522974</v>
      </c>
      <c r="T47" s="12">
        <v>0.812304625880033</v>
      </c>
      <c r="U47" s="12">
        <v>0.158076648337212</v>
      </c>
      <c r="V47" s="12">
        <v>3.45021385881744</v>
      </c>
      <c r="W47" s="37">
        <v>6.65338735373052</v>
      </c>
      <c r="X47" s="12">
        <v>1.35691122972354</v>
      </c>
      <c r="Y47" s="12">
        <v>0.00903610769621985</v>
      </c>
      <c r="Z47" s="12">
        <v>0.3389603160948</v>
      </c>
      <c r="AA47" s="12">
        <v>1.75530882351399</v>
      </c>
      <c r="AB47" s="12">
        <v>0.158076648337212</v>
      </c>
      <c r="AC47" s="38">
        <v>3.61829312536576</v>
      </c>
      <c r="AD47" s="17">
        <v>-3.03509422836476</v>
      </c>
      <c r="AE47" s="12">
        <v>4.204023418595189</v>
      </c>
      <c r="AF47" s="12">
        <v>1.8388193336486396</v>
      </c>
      <c r="AG47" s="34">
        <f t="shared" si="1"/>
        <v>86.82159057</v>
      </c>
    </row>
    <row r="48">
      <c r="A48" s="23" t="s">
        <v>87</v>
      </c>
      <c r="B48" s="24" t="s">
        <v>56</v>
      </c>
      <c r="C48" s="35">
        <v>53.8</v>
      </c>
      <c r="D48" s="26">
        <v>66.582</v>
      </c>
      <c r="E48" s="27">
        <v>0.518</v>
      </c>
      <c r="F48" s="28" t="s">
        <v>88</v>
      </c>
      <c r="G48" s="29" t="s">
        <v>34</v>
      </c>
      <c r="H48" s="24" t="s">
        <v>36</v>
      </c>
      <c r="I48" s="11">
        <v>0.958922973632809</v>
      </c>
      <c r="J48" s="12">
        <v>0.016971697422391</v>
      </c>
      <c r="K48" s="12">
        <v>0.208936671086637</v>
      </c>
      <c r="L48" s="12">
        <v>0.157164626598094</v>
      </c>
      <c r="M48" s="12">
        <v>0.0245136441557069</v>
      </c>
      <c r="N48" s="12">
        <v>0.215456551427915</v>
      </c>
      <c r="O48" s="12">
        <v>0.284709055691553</v>
      </c>
      <c r="P48" s="36">
        <v>0.907752246382297</v>
      </c>
      <c r="Q48" s="12">
        <v>1.49324711582379</v>
      </c>
      <c r="R48" s="12">
        <v>0.0</v>
      </c>
      <c r="S48" s="12">
        <v>0.300297708510985</v>
      </c>
      <c r="T48" s="12">
        <v>0.0335568338880457</v>
      </c>
      <c r="U48" s="12">
        <v>0.215456551427915</v>
      </c>
      <c r="V48" s="12">
        <v>0.395830036218774</v>
      </c>
      <c r="W48" s="37">
        <v>2.43838824586951</v>
      </c>
      <c r="X48" s="12">
        <v>0.016971697422391</v>
      </c>
      <c r="Y48" s="12">
        <v>0.208936671086637</v>
      </c>
      <c r="Z48" s="12">
        <v>0.00198551221719291</v>
      </c>
      <c r="AA48" s="12">
        <v>0.270715061040397</v>
      </c>
      <c r="AB48" s="12">
        <v>0.215456551427915</v>
      </c>
      <c r="AC48" s="38">
        <v>0.714065493194533</v>
      </c>
      <c r="AD48" s="17">
        <v>-1.724322752674977</v>
      </c>
      <c r="AE48" s="12">
        <v>1.5407251591198816</v>
      </c>
      <c r="AF48" s="12">
        <v>3.4147963584696273</v>
      </c>
      <c r="AG48" s="34">
        <f t="shared" si="1"/>
        <v>236.9014343</v>
      </c>
    </row>
    <row r="49">
      <c r="A49" s="23" t="s">
        <v>89</v>
      </c>
      <c r="B49" s="24" t="s">
        <v>38</v>
      </c>
      <c r="C49" s="25"/>
      <c r="D49" s="40"/>
      <c r="E49" s="27">
        <v>0.738</v>
      </c>
      <c r="F49" s="28">
        <v>6696.54450261782</v>
      </c>
      <c r="G49" s="29" t="s">
        <v>39</v>
      </c>
      <c r="H49" s="24" t="s">
        <v>32</v>
      </c>
      <c r="I49" s="11">
        <v>0.0716249999999998</v>
      </c>
      <c r="J49" s="30"/>
      <c r="K49" s="30"/>
      <c r="L49" s="30"/>
      <c r="M49" s="30"/>
      <c r="N49" s="30"/>
      <c r="O49" s="30"/>
      <c r="P49" s="36">
        <v>1.31845819580782</v>
      </c>
      <c r="Q49" s="30"/>
      <c r="R49" s="30"/>
      <c r="S49" s="30"/>
      <c r="T49" s="30"/>
      <c r="U49" s="30"/>
      <c r="V49" s="30"/>
      <c r="W49" s="37">
        <v>2.45839865678177</v>
      </c>
      <c r="X49" s="30"/>
      <c r="Y49" s="30"/>
      <c r="Z49" s="30"/>
      <c r="AA49" s="30"/>
      <c r="AB49" s="30"/>
      <c r="AC49" s="38">
        <v>1.14067533755465</v>
      </c>
      <c r="AD49" s="17">
        <v>-1.3177233192271203</v>
      </c>
      <c r="AE49" s="12">
        <v>1.5533689797210808</v>
      </c>
      <c r="AF49" s="12">
        <v>2.1552132985114074</v>
      </c>
      <c r="AG49" s="34">
        <f t="shared" si="1"/>
        <v>234.9731485</v>
      </c>
    </row>
    <row r="50">
      <c r="A50" s="23" t="s">
        <v>90</v>
      </c>
      <c r="B50" s="24" t="s">
        <v>27</v>
      </c>
      <c r="C50" s="35">
        <v>70.8</v>
      </c>
      <c r="D50" s="26">
        <v>73.892</v>
      </c>
      <c r="E50" s="27">
        <v>0.751</v>
      </c>
      <c r="F50" s="28">
        <v>7697.772958468685</v>
      </c>
      <c r="G50" s="29" t="s">
        <v>39</v>
      </c>
      <c r="H50" s="24" t="s">
        <v>32</v>
      </c>
      <c r="I50" s="11">
        <v>10.627099609375</v>
      </c>
      <c r="J50" s="12">
        <v>0.307819792152998</v>
      </c>
      <c r="K50" s="12">
        <v>0.107435401662159</v>
      </c>
      <c r="L50" s="12">
        <v>0.0392613135665177</v>
      </c>
      <c r="M50" s="12">
        <v>0.0109438901663187</v>
      </c>
      <c r="N50" s="12">
        <v>0.0630008674608571</v>
      </c>
      <c r="O50" s="12">
        <v>0.80020515159139</v>
      </c>
      <c r="P50" s="36">
        <v>1.32866641660024</v>
      </c>
      <c r="Q50" s="12">
        <v>0.393476427067286</v>
      </c>
      <c r="R50" s="12">
        <v>0.132922539461622</v>
      </c>
      <c r="S50" s="12">
        <v>0.126868032757952</v>
      </c>
      <c r="T50" s="12">
        <v>0.0406763075602929</v>
      </c>
      <c r="U50" s="12">
        <v>0.0630008674608571</v>
      </c>
      <c r="V50" s="12">
        <v>1.01189961082139</v>
      </c>
      <c r="W50" s="37">
        <v>1.7688437851294</v>
      </c>
      <c r="X50" s="12">
        <v>0.307819792152998</v>
      </c>
      <c r="Y50" s="12">
        <v>0.107435401662159</v>
      </c>
      <c r="Z50" s="12">
        <v>0.166033509327343</v>
      </c>
      <c r="AA50" s="12">
        <v>0.0235026372228648</v>
      </c>
      <c r="AB50" s="12">
        <v>0.0630008674608571</v>
      </c>
      <c r="AC50" s="38">
        <v>0.667792207826222</v>
      </c>
      <c r="AD50" s="17">
        <v>-1.1010515773031782</v>
      </c>
      <c r="AE50" s="12">
        <v>1.117665378726384</v>
      </c>
      <c r="AF50" s="12">
        <v>2.6487936882152154</v>
      </c>
      <c r="AG50" s="34">
        <f t="shared" si="1"/>
        <v>326.5735943</v>
      </c>
    </row>
    <row r="51">
      <c r="A51" s="23" t="s">
        <v>91</v>
      </c>
      <c r="B51" s="24" t="s">
        <v>38</v>
      </c>
      <c r="C51" s="35">
        <v>72.5</v>
      </c>
      <c r="D51" s="26">
        <v>76.8</v>
      </c>
      <c r="E51" s="27">
        <v>0.762</v>
      </c>
      <c r="F51" s="28">
        <v>5180.585679118625</v>
      </c>
      <c r="G51" s="29" t="s">
        <v>42</v>
      </c>
      <c r="H51" s="24" t="s">
        <v>32</v>
      </c>
      <c r="I51" s="11">
        <v>17.0844003906249</v>
      </c>
      <c r="J51" s="30"/>
      <c r="K51" s="30"/>
      <c r="L51" s="30"/>
      <c r="M51" s="30"/>
      <c r="N51" s="30"/>
      <c r="O51" s="30"/>
      <c r="P51" s="36">
        <v>2.26600109126402</v>
      </c>
      <c r="Q51" s="30"/>
      <c r="R51" s="30"/>
      <c r="S51" s="30"/>
      <c r="T51" s="30"/>
      <c r="U51" s="30"/>
      <c r="V51" s="30"/>
      <c r="W51" s="37">
        <v>1.70246786871039</v>
      </c>
      <c r="X51" s="30"/>
      <c r="Y51" s="30"/>
      <c r="Z51" s="30"/>
      <c r="AA51" s="30"/>
      <c r="AB51" s="30"/>
      <c r="AC51" s="38">
        <v>1.88578879006471</v>
      </c>
      <c r="AD51" s="21">
        <v>0.18332092135431988</v>
      </c>
      <c r="AE51" s="12">
        <v>1.0757249516595944</v>
      </c>
      <c r="AF51" s="12">
        <v>0.9027882007146573</v>
      </c>
      <c r="AG51" s="34">
        <f t="shared" si="1"/>
        <v>339.3060647</v>
      </c>
    </row>
    <row r="52">
      <c r="A52" s="23" t="s">
        <v>92</v>
      </c>
      <c r="B52" s="24" t="s">
        <v>38</v>
      </c>
      <c r="C52" s="35">
        <v>68.6</v>
      </c>
      <c r="D52" s="26">
        <v>71.825</v>
      </c>
      <c r="E52" s="27">
        <v>0.701</v>
      </c>
      <c r="F52" s="28">
        <v>2905.807097684674</v>
      </c>
      <c r="G52" s="29" t="s">
        <v>34</v>
      </c>
      <c r="H52" s="24" t="s">
        <v>36</v>
      </c>
      <c r="I52" s="11">
        <v>98.4236015624997</v>
      </c>
      <c r="J52" s="30"/>
      <c r="K52" s="30"/>
      <c r="L52" s="30"/>
      <c r="M52" s="30"/>
      <c r="N52" s="30"/>
      <c r="O52" s="30"/>
      <c r="P52" s="36">
        <v>1.30928931544227</v>
      </c>
      <c r="Q52" s="30"/>
      <c r="R52" s="30"/>
      <c r="S52" s="30"/>
      <c r="T52" s="30"/>
      <c r="U52" s="30"/>
      <c r="V52" s="30"/>
      <c r="W52" s="37">
        <v>1.83631018042192</v>
      </c>
      <c r="X52" s="30"/>
      <c r="Y52" s="30"/>
      <c r="Z52" s="30"/>
      <c r="AA52" s="30"/>
      <c r="AB52" s="30"/>
      <c r="AC52" s="38">
        <v>0.365710103148648</v>
      </c>
      <c r="AD52" s="17">
        <v>-1.470600077273272</v>
      </c>
      <c r="AE52" s="12">
        <v>1.160294838082741</v>
      </c>
      <c r="AF52" s="12">
        <v>5.021218075770594</v>
      </c>
      <c r="AG52" s="34">
        <f t="shared" si="1"/>
        <v>314.5752166</v>
      </c>
    </row>
    <row r="53">
      <c r="A53" s="23" t="s">
        <v>93</v>
      </c>
      <c r="B53" s="24" t="s">
        <v>27</v>
      </c>
      <c r="C53" s="35">
        <v>67.9</v>
      </c>
      <c r="D53" s="26">
        <v>73.096</v>
      </c>
      <c r="E53" s="27">
        <v>0.67</v>
      </c>
      <c r="F53" s="28">
        <v>3507.0513569287077</v>
      </c>
      <c r="G53" s="29" t="s">
        <v>39</v>
      </c>
      <c r="H53" s="24" t="s">
        <v>36</v>
      </c>
      <c r="I53" s="11">
        <v>6.42075</v>
      </c>
      <c r="J53" s="12">
        <v>0.210416397591599</v>
      </c>
      <c r="K53" s="12">
        <v>0.0993453720943967</v>
      </c>
      <c r="L53" s="12">
        <v>0.31652133667243</v>
      </c>
      <c r="M53" s="12">
        <v>0.196585891950582</v>
      </c>
      <c r="N53" s="12">
        <v>0.0423998833979744</v>
      </c>
      <c r="O53" s="12">
        <v>0.356047199796689</v>
      </c>
      <c r="P53" s="36">
        <v>1.22131608150367</v>
      </c>
      <c r="Q53" s="12">
        <v>0.440008725259715</v>
      </c>
      <c r="R53" s="12">
        <v>0.192994300323537</v>
      </c>
      <c r="S53" s="12">
        <v>0.419115179081467</v>
      </c>
      <c r="T53" s="12">
        <v>0.142865894400577</v>
      </c>
      <c r="U53" s="12">
        <v>0.0423998833979744</v>
      </c>
      <c r="V53" s="12">
        <v>0.790651992446812</v>
      </c>
      <c r="W53" s="37">
        <v>2.02803597491008</v>
      </c>
      <c r="X53" s="12">
        <v>0.210416397591599</v>
      </c>
      <c r="Y53" s="12">
        <v>0.139388773881586</v>
      </c>
      <c r="Z53" s="12">
        <v>0.0875673373790947</v>
      </c>
      <c r="AA53" s="12">
        <v>0.109250647230487</v>
      </c>
      <c r="AB53" s="12">
        <v>0.0423998833979744</v>
      </c>
      <c r="AC53" s="38">
        <v>0.589023039480741</v>
      </c>
      <c r="AD53" s="17">
        <v>-1.4390129354293388</v>
      </c>
      <c r="AE53" s="12">
        <v>1.281439104472862</v>
      </c>
      <c r="AF53" s="12">
        <v>3.443050337552016</v>
      </c>
      <c r="AG53" s="34">
        <f t="shared" si="1"/>
        <v>284.8360088</v>
      </c>
    </row>
    <row r="54">
      <c r="A54" s="23" t="s">
        <v>94</v>
      </c>
      <c r="B54" s="24" t="s">
        <v>56</v>
      </c>
      <c r="C54" s="25"/>
      <c r="D54" s="26">
        <v>58.402</v>
      </c>
      <c r="E54" s="27">
        <v>0.582</v>
      </c>
      <c r="F54" s="28">
        <v>10134.6862776952</v>
      </c>
      <c r="G54" s="29" t="s">
        <v>34</v>
      </c>
      <c r="H54" s="24" t="s">
        <v>40</v>
      </c>
      <c r="I54" s="11">
        <v>1.3089699707031202</v>
      </c>
      <c r="J54" s="12">
        <v>0.080155406699208</v>
      </c>
      <c r="K54" s="12">
        <v>0.00535446170148462</v>
      </c>
      <c r="L54" s="12">
        <v>0.817995532367474</v>
      </c>
      <c r="M54" s="12">
        <v>0.0144389872333907</v>
      </c>
      <c r="N54" s="12">
        <v>0.023078122018467</v>
      </c>
      <c r="O54" s="12">
        <v>1.53123486378008</v>
      </c>
      <c r="P54" s="36">
        <v>2.4722573738001</v>
      </c>
      <c r="Q54" s="12">
        <v>0.239755025459284</v>
      </c>
      <c r="R54" s="12">
        <v>0.0240664101703325</v>
      </c>
      <c r="S54" s="12">
        <v>0.151856723378593</v>
      </c>
      <c r="T54" s="12">
        <v>0.0517534361232462</v>
      </c>
      <c r="U54" s="12">
        <v>0.023078122018467</v>
      </c>
      <c r="V54" s="12">
        <v>1.53123486378008</v>
      </c>
      <c r="W54" s="37">
        <v>2.02174458093</v>
      </c>
      <c r="X54" s="12">
        <v>0.080155406699208</v>
      </c>
      <c r="Y54" s="12">
        <v>0.0825295825433881</v>
      </c>
      <c r="Z54" s="12">
        <v>2.60265053025836</v>
      </c>
      <c r="AA54" s="12">
        <v>0.567965660378267</v>
      </c>
      <c r="AB54" s="12">
        <v>0.023078122018467</v>
      </c>
      <c r="AC54" s="38">
        <v>3.35637930189769</v>
      </c>
      <c r="AD54" s="21">
        <v>1.3346347209676899</v>
      </c>
      <c r="AE54" s="12">
        <v>1.2774638109536842</v>
      </c>
      <c r="AF54" s="12">
        <v>0.6023587917452923</v>
      </c>
      <c r="AG54" s="34">
        <f t="shared" si="1"/>
        <v>285.7223797</v>
      </c>
    </row>
    <row r="55">
      <c r="A55" s="23" t="s">
        <v>95</v>
      </c>
      <c r="B55" s="24" t="s">
        <v>27</v>
      </c>
      <c r="C55" s="25"/>
      <c r="D55" s="26">
        <v>65.941</v>
      </c>
      <c r="E55" s="27">
        <v>0.456</v>
      </c>
      <c r="F55" s="28" t="s">
        <v>88</v>
      </c>
      <c r="G55" s="29" t="s">
        <v>34</v>
      </c>
      <c r="H55" s="24" t="s">
        <v>29</v>
      </c>
      <c r="I55" s="11">
        <v>3.4527900390625</v>
      </c>
      <c r="J55" s="12">
        <v>0.13422458235707</v>
      </c>
      <c r="K55" s="12">
        <v>0.327680453481118</v>
      </c>
      <c r="L55" s="12">
        <v>0.113810918605388</v>
      </c>
      <c r="M55" s="12">
        <v>0.0293345386692777</v>
      </c>
      <c r="N55" s="12">
        <v>0.0432377727574596</v>
      </c>
      <c r="O55" s="12">
        <v>0.0837019997363171</v>
      </c>
      <c r="P55" s="36">
        <v>0.731990265606631</v>
      </c>
      <c r="Q55" s="12">
        <v>0.213612073866541</v>
      </c>
      <c r="R55" s="12">
        <v>0.328630877517758</v>
      </c>
      <c r="S55" s="12">
        <v>0.116327979944918</v>
      </c>
      <c r="T55" s="12">
        <v>0.0291538330320609</v>
      </c>
      <c r="U55" s="12">
        <v>0.0432377727574596</v>
      </c>
      <c r="V55" s="12">
        <v>0.0837019997363171</v>
      </c>
      <c r="W55" s="37">
        <v>0.814664536855055</v>
      </c>
      <c r="X55" s="12">
        <v>0.13422458235707</v>
      </c>
      <c r="Y55" s="12">
        <v>0.327680453481118</v>
      </c>
      <c r="Z55" s="12">
        <v>0.103791010676952</v>
      </c>
      <c r="AA55" s="12">
        <v>1.64564456009012</v>
      </c>
      <c r="AB55" s="12">
        <v>0.0432377727574596</v>
      </c>
      <c r="AC55" s="38">
        <v>2.25457837936272</v>
      </c>
      <c r="AD55" s="21">
        <v>1.4399138425076647</v>
      </c>
      <c r="AE55" s="12">
        <v>0.5147556589076914</v>
      </c>
      <c r="AF55" s="12">
        <v>0.361337864459309</v>
      </c>
      <c r="AG55" s="39" t="str">
        <f t="shared" si="1"/>
        <v/>
      </c>
    </row>
    <row r="56">
      <c r="A56" s="23" t="s">
        <v>96</v>
      </c>
      <c r="B56" s="24" t="s">
        <v>27</v>
      </c>
      <c r="C56" s="35">
        <v>81.6</v>
      </c>
      <c r="D56" s="26">
        <v>78.2439</v>
      </c>
      <c r="E56" s="27">
        <v>0.889</v>
      </c>
      <c r="F56" s="28">
        <v>19918.664110201775</v>
      </c>
      <c r="G56" s="29" t="s">
        <v>47</v>
      </c>
      <c r="H56" s="24" t="s">
        <v>40</v>
      </c>
      <c r="I56" s="11">
        <v>1.32292004394531</v>
      </c>
      <c r="J56" s="12">
        <v>0.892784040385227</v>
      </c>
      <c r="K56" s="12">
        <v>0.102397016724005</v>
      </c>
      <c r="L56" s="12">
        <v>5.27416373140568</v>
      </c>
      <c r="M56" s="12">
        <v>0.251423492361692</v>
      </c>
      <c r="N56" s="12">
        <v>0.0824230272526086</v>
      </c>
      <c r="O56" s="12">
        <v>3.96309302967456</v>
      </c>
      <c r="P56" s="36">
        <v>10.5662843378038</v>
      </c>
      <c r="Q56" s="12">
        <v>0.293919909586631</v>
      </c>
      <c r="R56" s="12">
        <v>0.1636567468534</v>
      </c>
      <c r="S56" s="12">
        <v>4.03395260248727</v>
      </c>
      <c r="T56" s="12">
        <v>0.0771217234048601</v>
      </c>
      <c r="U56" s="12">
        <v>0.0824230272526086</v>
      </c>
      <c r="V56" s="12">
        <v>3.35836649650104</v>
      </c>
      <c r="W56" s="37">
        <v>8.0094405060858</v>
      </c>
      <c r="X56" s="12">
        <v>0.892784040385227</v>
      </c>
      <c r="Y56" s="12">
        <v>0.102397016724005</v>
      </c>
      <c r="Z56" s="12">
        <v>3.98918571442986</v>
      </c>
      <c r="AA56" s="12">
        <v>4.26499674628266</v>
      </c>
      <c r="AB56" s="12">
        <v>0.0824230272526086</v>
      </c>
      <c r="AC56" s="38">
        <v>9.33178654507436</v>
      </c>
      <c r="AD56" s="21">
        <v>1.3223460389885595</v>
      </c>
      <c r="AE56" s="12">
        <v>5.060862034216295</v>
      </c>
      <c r="AF56" s="12">
        <v>0.8582965831246387</v>
      </c>
      <c r="AG56" s="34">
        <f t="shared" si="1"/>
        <v>72.12210045</v>
      </c>
    </row>
    <row r="57">
      <c r="A57" s="23" t="s">
        <v>97</v>
      </c>
      <c r="B57" s="24" t="s">
        <v>27</v>
      </c>
      <c r="C57" s="35">
        <v>53.3</v>
      </c>
      <c r="D57" s="26">
        <v>59.401</v>
      </c>
      <c r="E57" s="27">
        <v>0.605</v>
      </c>
      <c r="F57" s="28">
        <v>4761.590330288579</v>
      </c>
      <c r="G57" s="29" t="s">
        <v>34</v>
      </c>
      <c r="H57" s="24" t="s">
        <v>36</v>
      </c>
      <c r="I57" s="11">
        <v>1.1362800292968702</v>
      </c>
      <c r="J57" s="12">
        <v>0.279356724403419</v>
      </c>
      <c r="K57" s="12">
        <v>0.401557599901612</v>
      </c>
      <c r="L57" s="12">
        <v>1.17450917230864</v>
      </c>
      <c r="M57" s="12">
        <v>8.71010605873212E-5</v>
      </c>
      <c r="N57" s="12">
        <v>0.069788898712182</v>
      </c>
      <c r="O57" s="12">
        <v>0.365782191501997</v>
      </c>
      <c r="P57" s="36">
        <v>2.29108168788843</v>
      </c>
      <c r="Q57" s="12">
        <v>0.4385463766969</v>
      </c>
      <c r="R57" s="12">
        <v>0.465571737155513</v>
      </c>
      <c r="S57" s="12">
        <v>0.977699148954934</v>
      </c>
      <c r="T57" s="12">
        <v>0.0188716092068935</v>
      </c>
      <c r="U57" s="12">
        <v>0.069788898712182</v>
      </c>
      <c r="V57" s="12">
        <v>0.493417776038449</v>
      </c>
      <c r="W57" s="37">
        <v>2.46389554676487</v>
      </c>
      <c r="X57" s="12">
        <v>0.279356724403419</v>
      </c>
      <c r="Y57" s="12">
        <v>0.553812714265285</v>
      </c>
      <c r="Z57" s="12">
        <v>0.0483056679118953</v>
      </c>
      <c r="AA57" s="12">
        <v>0.00513240496966679</v>
      </c>
      <c r="AB57" s="12">
        <v>0.069788898712182</v>
      </c>
      <c r="AC57" s="38">
        <v>0.956396410262447</v>
      </c>
      <c r="AD57" s="17">
        <v>-1.5074991365024233</v>
      </c>
      <c r="AE57" s="12">
        <v>1.5568422562627564</v>
      </c>
      <c r="AF57" s="12">
        <v>2.576228350845385</v>
      </c>
      <c r="AG57" s="34">
        <f t="shared" si="1"/>
        <v>234.4489293</v>
      </c>
    </row>
    <row r="58">
      <c r="A58" s="23" t="s">
        <v>98</v>
      </c>
      <c r="B58" s="24" t="s">
        <v>27</v>
      </c>
      <c r="C58" s="35">
        <v>54.5</v>
      </c>
      <c r="D58" s="26">
        <v>66.24</v>
      </c>
      <c r="E58" s="27">
        <v>0.478</v>
      </c>
      <c r="F58" s="28">
        <v>570.6548011426061</v>
      </c>
      <c r="G58" s="29" t="s">
        <v>34</v>
      </c>
      <c r="H58" s="24" t="s">
        <v>29</v>
      </c>
      <c r="I58" s="11">
        <v>109.224</v>
      </c>
      <c r="J58" s="12">
        <v>0.334250128720671</v>
      </c>
      <c r="K58" s="12">
        <v>0.100645260382697</v>
      </c>
      <c r="L58" s="12">
        <v>0.404952484937422</v>
      </c>
      <c r="M58" s="12">
        <v>0.00140342111763458</v>
      </c>
      <c r="N58" s="12">
        <v>0.0675305778137983</v>
      </c>
      <c r="O58" s="12">
        <v>0.0503543549206894</v>
      </c>
      <c r="P58" s="36">
        <v>0.959136227892913</v>
      </c>
      <c r="Q58" s="12">
        <v>0.347019754365699</v>
      </c>
      <c r="R58" s="12">
        <v>0.099524410555347</v>
      </c>
      <c r="S58" s="12">
        <v>0.407392763385233</v>
      </c>
      <c r="T58" s="12">
        <v>0.00145001004738772</v>
      </c>
      <c r="U58" s="12">
        <v>0.0675305778137983</v>
      </c>
      <c r="V58" s="12">
        <v>0.097606764715984</v>
      </c>
      <c r="W58" s="37">
        <v>1.02052428088345</v>
      </c>
      <c r="X58" s="12">
        <v>0.334250128720671</v>
      </c>
      <c r="Y58" s="12">
        <v>0.100645260382697</v>
      </c>
      <c r="Z58" s="12">
        <v>0.053205131262985</v>
      </c>
      <c r="AA58" s="12">
        <v>0.00232228926918643</v>
      </c>
      <c r="AB58" s="12">
        <v>0.0675305778137983</v>
      </c>
      <c r="AC58" s="38">
        <v>0.557953387449338</v>
      </c>
      <c r="AD58" s="17">
        <v>-0.46257089343411206</v>
      </c>
      <c r="AE58" s="12">
        <v>0.6448306325759743</v>
      </c>
      <c r="AF58" s="12">
        <v>1.8290493504282441</v>
      </c>
      <c r="AG58" s="39" t="str">
        <f t="shared" si="1"/>
        <v/>
      </c>
    </row>
    <row r="59">
      <c r="A59" s="23" t="s">
        <v>99</v>
      </c>
      <c r="B59" s="24" t="s">
        <v>27</v>
      </c>
      <c r="C59" s="35">
        <v>71.2</v>
      </c>
      <c r="D59" s="26">
        <v>67.341</v>
      </c>
      <c r="E59" s="27">
        <v>0.742</v>
      </c>
      <c r="F59" s="28">
        <v>4794.682114005652</v>
      </c>
      <c r="G59" s="29" t="s">
        <v>45</v>
      </c>
      <c r="H59" s="24" t="s">
        <v>32</v>
      </c>
      <c r="I59" s="11">
        <v>0.883482971191405</v>
      </c>
      <c r="J59" s="12">
        <v>0.169387177628517</v>
      </c>
      <c r="K59" s="12">
        <v>0.0897540618163508</v>
      </c>
      <c r="L59" s="12">
        <v>0.644178579434142</v>
      </c>
      <c r="M59" s="12">
        <v>0.527720871210426</v>
      </c>
      <c r="N59" s="12">
        <v>0.0258334417164674</v>
      </c>
      <c r="O59" s="12">
        <v>0.451843598819424</v>
      </c>
      <c r="P59" s="36">
        <v>1.90871773062533</v>
      </c>
      <c r="Q59" s="12">
        <v>0.427076484824165</v>
      </c>
      <c r="R59" s="12">
        <v>0.217241182316632</v>
      </c>
      <c r="S59" s="12">
        <v>0.76563240029071</v>
      </c>
      <c r="T59" s="12">
        <v>0.534658021263824</v>
      </c>
      <c r="U59" s="12">
        <v>0.0258334417164674</v>
      </c>
      <c r="V59" s="12">
        <v>0.696886938016122</v>
      </c>
      <c r="W59" s="37">
        <v>2.66732846842792</v>
      </c>
      <c r="X59" s="12">
        <v>0.169387177628517</v>
      </c>
      <c r="Y59" s="12">
        <v>0.0897540618163508</v>
      </c>
      <c r="Z59" s="12">
        <v>1.40990104205057</v>
      </c>
      <c r="AA59" s="12">
        <v>0.646921098959677</v>
      </c>
      <c r="AB59" s="12">
        <v>0.0258334417164674</v>
      </c>
      <c r="AC59" s="38">
        <v>2.34179682217158</v>
      </c>
      <c r="AD59" s="17">
        <v>-0.3255316462563398</v>
      </c>
      <c r="AE59" s="12">
        <v>1.6853838128136724</v>
      </c>
      <c r="AF59" s="12">
        <v>1.1390093466582083</v>
      </c>
      <c r="AG59" s="34">
        <f t="shared" si="1"/>
        <v>216.5678804</v>
      </c>
    </row>
    <row r="60">
      <c r="A60" s="23" t="s">
        <v>100</v>
      </c>
      <c r="B60" s="24" t="s">
        <v>27</v>
      </c>
      <c r="C60" s="35">
        <v>85.9</v>
      </c>
      <c r="D60" s="26">
        <v>81.7341</v>
      </c>
      <c r="E60" s="27">
        <v>0.937</v>
      </c>
      <c r="F60" s="28">
        <v>48890.19193573543</v>
      </c>
      <c r="G60" s="29" t="s">
        <v>47</v>
      </c>
      <c r="H60" s="24" t="s">
        <v>40</v>
      </c>
      <c r="I60" s="11">
        <v>5.522580078125</v>
      </c>
      <c r="J60" s="12">
        <v>0.56834907592663</v>
      </c>
      <c r="K60" s="12">
        <v>0.0769323464815383</v>
      </c>
      <c r="L60" s="12">
        <v>8.13600772541556</v>
      </c>
      <c r="M60" s="12">
        <v>0.147421145757726</v>
      </c>
      <c r="N60" s="12">
        <v>0.0965220694565073</v>
      </c>
      <c r="O60" s="12">
        <v>2.83167997576347</v>
      </c>
      <c r="P60" s="36">
        <v>11.8569123388014</v>
      </c>
      <c r="Q60" s="12">
        <v>0.716764084151134</v>
      </c>
      <c r="R60" s="12">
        <v>0.187605542410406</v>
      </c>
      <c r="S60" s="12">
        <v>1.16075047118752</v>
      </c>
      <c r="T60" s="12">
        <v>0.207071530815818</v>
      </c>
      <c r="U60" s="12">
        <v>0.0965220694565073</v>
      </c>
      <c r="V60" s="12">
        <v>4.07475047459221</v>
      </c>
      <c r="W60" s="37">
        <v>6.44346417261359</v>
      </c>
      <c r="X60" s="12">
        <v>0.568349075926629</v>
      </c>
      <c r="Y60" s="12">
        <v>0.0769323464815383</v>
      </c>
      <c r="Z60" s="12">
        <v>9.12725023219487</v>
      </c>
      <c r="AA60" s="12">
        <v>2.26938606211462</v>
      </c>
      <c r="AB60" s="12">
        <v>0.0965220694565073</v>
      </c>
      <c r="AC60" s="38">
        <v>12.1384397861742</v>
      </c>
      <c r="AD60" s="21">
        <v>5.69497561356061</v>
      </c>
      <c r="AE60" s="12">
        <v>4.07138091296582</v>
      </c>
      <c r="AF60" s="12">
        <v>0.5308313330311824</v>
      </c>
      <c r="AG60" s="34">
        <f t="shared" si="1"/>
        <v>89.65017221</v>
      </c>
    </row>
    <row r="61">
      <c r="A61" s="23" t="s">
        <v>101</v>
      </c>
      <c r="B61" s="24" t="s">
        <v>27</v>
      </c>
      <c r="C61" s="35">
        <v>81.7</v>
      </c>
      <c r="D61" s="26">
        <v>82.7244</v>
      </c>
      <c r="E61" s="27">
        <v>0.898</v>
      </c>
      <c r="F61" s="28">
        <v>45056.68277020996</v>
      </c>
      <c r="G61" s="29" t="s">
        <v>47</v>
      </c>
      <c r="H61" s="24" t="s">
        <v>40</v>
      </c>
      <c r="I61" s="11">
        <v>65.02919921874991</v>
      </c>
      <c r="J61" s="12">
        <v>1.08931925330005</v>
      </c>
      <c r="K61" s="12">
        <v>0.157550574269054</v>
      </c>
      <c r="L61" s="12">
        <v>0.414529589473104</v>
      </c>
      <c r="M61" s="12">
        <v>0.138505104721672</v>
      </c>
      <c r="N61" s="12">
        <v>0.151290028007059</v>
      </c>
      <c r="O61" s="12">
        <v>1.68127818729352</v>
      </c>
      <c r="P61" s="36">
        <v>3.63247273706446</v>
      </c>
      <c r="Q61" s="12">
        <v>0.791202473815155</v>
      </c>
      <c r="R61" s="12">
        <v>0.243761705459732</v>
      </c>
      <c r="S61" s="12">
        <v>0.509444271401819</v>
      </c>
      <c r="T61" s="12">
        <v>0.217009734699067</v>
      </c>
      <c r="U61" s="12">
        <v>0.151290028007059</v>
      </c>
      <c r="V61" s="12">
        <v>2.50832310779487</v>
      </c>
      <c r="W61" s="37">
        <v>4.4210313211777</v>
      </c>
      <c r="X61" s="12">
        <v>1.08931925330005</v>
      </c>
      <c r="Y61" s="12">
        <v>0.157550574269054</v>
      </c>
      <c r="Z61" s="12">
        <v>0.871603839218341</v>
      </c>
      <c r="AA61" s="12">
        <v>0.110223214646119</v>
      </c>
      <c r="AB61" s="12">
        <v>0.151290028007059</v>
      </c>
      <c r="AC61" s="38">
        <v>2.37998690944062</v>
      </c>
      <c r="AD61" s="17">
        <v>-2.04104441173708</v>
      </c>
      <c r="AE61" s="12">
        <v>2.7934822099532113</v>
      </c>
      <c r="AF61" s="12">
        <v>1.8575864025305906</v>
      </c>
      <c r="AG61" s="34">
        <f t="shared" si="1"/>
        <v>130.6612939</v>
      </c>
    </row>
    <row r="62">
      <c r="A62" s="23" t="s">
        <v>102</v>
      </c>
      <c r="B62" s="24" t="s">
        <v>56</v>
      </c>
      <c r="C62" s="25" t="s">
        <v>103</v>
      </c>
      <c r="D62" s="40" t="s">
        <v>103</v>
      </c>
      <c r="E62" s="41" t="s">
        <v>103</v>
      </c>
      <c r="F62" s="42" t="s">
        <v>103</v>
      </c>
      <c r="G62" s="29" t="s">
        <v>42</v>
      </c>
      <c r="H62" s="29"/>
      <c r="I62" s="11">
        <v>0.28293798828125</v>
      </c>
      <c r="J62" s="12">
        <v>0.0891478769073354</v>
      </c>
      <c r="K62" s="12">
        <v>0.0572799482932157</v>
      </c>
      <c r="L62" s="12">
        <v>0.38122467665326</v>
      </c>
      <c r="M62" s="12">
        <v>0.0694966263646055</v>
      </c>
      <c r="N62" s="12">
        <v>0.00505190706870232</v>
      </c>
      <c r="O62" s="12">
        <v>0.733013175499661</v>
      </c>
      <c r="P62" s="36">
        <v>1.33521421078678</v>
      </c>
      <c r="Q62" s="12">
        <v>0.0891478769073354</v>
      </c>
      <c r="R62" s="12">
        <v>0.0572799482932157</v>
      </c>
      <c r="S62" s="12">
        <v>0.372336956642109</v>
      </c>
      <c r="T62" s="12">
        <v>0.0694966263646055</v>
      </c>
      <c r="U62" s="12">
        <v>0.00505190706870232</v>
      </c>
      <c r="V62" s="12">
        <v>1.28510463972094</v>
      </c>
      <c r="W62" s="37">
        <v>1.8784179549969</v>
      </c>
      <c r="X62" s="12">
        <v>0.0891478769073354</v>
      </c>
      <c r="Y62" s="12">
        <v>0.0665290670416346</v>
      </c>
      <c r="Z62" s="12">
        <v>78.2455195397996</v>
      </c>
      <c r="AA62" s="12">
        <v>13.7336719871432</v>
      </c>
      <c r="AB62" s="12">
        <v>0.00505190706870232</v>
      </c>
      <c r="AC62" s="38">
        <v>92.1399203779605</v>
      </c>
      <c r="AD62" s="21">
        <v>90.26150242296359</v>
      </c>
      <c r="AE62" s="12">
        <v>1.1869011456681375</v>
      </c>
      <c r="AF62" s="12">
        <v>0.02038658105294185</v>
      </c>
      <c r="AG62" s="34">
        <f t="shared" si="1"/>
        <v>307.5235047</v>
      </c>
    </row>
    <row r="63">
      <c r="A63" s="23" t="s">
        <v>104</v>
      </c>
      <c r="B63" s="24" t="s">
        <v>38</v>
      </c>
      <c r="C63" s="25" t="s">
        <v>103</v>
      </c>
      <c r="D63" s="26">
        <v>77.462</v>
      </c>
      <c r="E63" s="41" t="s">
        <v>103</v>
      </c>
      <c r="F63" s="28" t="s">
        <v>88</v>
      </c>
      <c r="G63" s="29" t="s">
        <v>45</v>
      </c>
      <c r="H63" s="24" t="s">
        <v>40</v>
      </c>
      <c r="I63" s="11">
        <v>0.27767898559570303</v>
      </c>
      <c r="J63" s="30"/>
      <c r="K63" s="30"/>
      <c r="L63" s="30"/>
      <c r="M63" s="30"/>
      <c r="N63" s="30"/>
      <c r="O63" s="30"/>
      <c r="P63" s="36">
        <v>2.12409540162839</v>
      </c>
      <c r="Q63" s="30"/>
      <c r="R63" s="30"/>
      <c r="S63" s="30"/>
      <c r="T63" s="30"/>
      <c r="U63" s="30"/>
      <c r="V63" s="30"/>
      <c r="W63" s="37">
        <v>3.995740717582</v>
      </c>
      <c r="X63" s="30"/>
      <c r="Y63" s="30"/>
      <c r="Z63" s="30"/>
      <c r="AA63" s="30"/>
      <c r="AB63" s="30"/>
      <c r="AC63" s="38">
        <v>1.30575229662656</v>
      </c>
      <c r="AD63" s="17">
        <v>-2.68998842095544</v>
      </c>
      <c r="AE63" s="12">
        <v>2.5247571888220843</v>
      </c>
      <c r="AF63" s="12">
        <v>3.0601062145592888</v>
      </c>
      <c r="AG63" s="34">
        <f t="shared" si="1"/>
        <v>144.5683575</v>
      </c>
    </row>
    <row r="64">
      <c r="A64" s="23" t="s">
        <v>105</v>
      </c>
      <c r="B64" s="24" t="s">
        <v>56</v>
      </c>
      <c r="C64" s="35">
        <v>62.8</v>
      </c>
      <c r="D64" s="26">
        <v>66.187</v>
      </c>
      <c r="E64" s="27">
        <v>0.697</v>
      </c>
      <c r="F64" s="28">
        <v>9051.324193338467</v>
      </c>
      <c r="G64" s="29" t="s">
        <v>34</v>
      </c>
      <c r="H64" s="24" t="s">
        <v>32</v>
      </c>
      <c r="I64" s="11">
        <v>2.1192700195312404</v>
      </c>
      <c r="J64" s="12">
        <v>0.242869621547223</v>
      </c>
      <c r="K64" s="12">
        <v>0.0217122577459441</v>
      </c>
      <c r="L64" s="12">
        <v>0.856456057362275</v>
      </c>
      <c r="M64" s="12">
        <v>0.0620027622003889</v>
      </c>
      <c r="N64" s="12">
        <v>0.0406322334051858</v>
      </c>
      <c r="O64" s="12">
        <v>0.40567187385137</v>
      </c>
      <c r="P64" s="36">
        <v>1.62934480611239</v>
      </c>
      <c r="Q64" s="12">
        <v>0.501665026381524</v>
      </c>
      <c r="R64" s="12">
        <v>0.1281425970747</v>
      </c>
      <c r="S64" s="12">
        <v>0.543314425803068</v>
      </c>
      <c r="T64" s="12">
        <v>0.157832837610789</v>
      </c>
      <c r="U64" s="12">
        <v>0.0406322334051858</v>
      </c>
      <c r="V64" s="12">
        <v>0.581752217259872</v>
      </c>
      <c r="W64" s="37">
        <v>1.95333933753514</v>
      </c>
      <c r="X64" s="12">
        <v>0.242869621547222</v>
      </c>
      <c r="Y64" s="12">
        <v>1.02046448543861</v>
      </c>
      <c r="Z64" s="12">
        <v>15.3599204371801</v>
      </c>
      <c r="AA64" s="12">
        <v>2.25934024770724</v>
      </c>
      <c r="AB64" s="12">
        <v>0.0406322334051858</v>
      </c>
      <c r="AC64" s="38">
        <v>18.9232270252784</v>
      </c>
      <c r="AD64" s="21">
        <v>16.96988768774326</v>
      </c>
      <c r="AE64" s="12">
        <v>1.2342411290478346</v>
      </c>
      <c r="AF64" s="12">
        <v>0.10322443074459718</v>
      </c>
      <c r="AG64" s="34">
        <f t="shared" si="1"/>
        <v>295.728275</v>
      </c>
    </row>
    <row r="65">
      <c r="A65" s="23" t="s">
        <v>106</v>
      </c>
      <c r="B65" s="24" t="s">
        <v>27</v>
      </c>
      <c r="C65" s="35">
        <v>59.3</v>
      </c>
      <c r="D65" s="26">
        <v>61.735</v>
      </c>
      <c r="E65" s="27">
        <v>0.487</v>
      </c>
      <c r="F65" s="28">
        <v>791.4555699285903</v>
      </c>
      <c r="G65" s="29" t="s">
        <v>34</v>
      </c>
      <c r="H65" s="24" t="s">
        <v>29</v>
      </c>
      <c r="I65" s="11">
        <v>2.28009008789062</v>
      </c>
      <c r="J65" s="12">
        <v>0.133736753991931</v>
      </c>
      <c r="K65" s="12">
        <v>0.0306666194676948</v>
      </c>
      <c r="L65" s="12">
        <v>0.147233753565012</v>
      </c>
      <c r="M65" s="12">
        <v>0.0794425224290846</v>
      </c>
      <c r="N65" s="12">
        <v>0.0182009413468322</v>
      </c>
      <c r="O65" s="12">
        <v>0.0911736082328416</v>
      </c>
      <c r="P65" s="36">
        <v>0.500454199033396</v>
      </c>
      <c r="Q65" s="12">
        <v>0.460530931996108</v>
      </c>
      <c r="R65" s="12">
        <v>0.0504737640522236</v>
      </c>
      <c r="S65" s="12">
        <v>0.141443537745449</v>
      </c>
      <c r="T65" s="12">
        <v>0.0770084967463704</v>
      </c>
      <c r="U65" s="12">
        <v>0.0182009413468322</v>
      </c>
      <c r="V65" s="12">
        <v>0.293079662260357</v>
      </c>
      <c r="W65" s="37">
        <v>1.04073733414734</v>
      </c>
      <c r="X65" s="12">
        <v>0.133736753991931</v>
      </c>
      <c r="Y65" s="12">
        <v>0.0306666194676948</v>
      </c>
      <c r="Z65" s="12">
        <v>0.0822608219901389</v>
      </c>
      <c r="AA65" s="12">
        <v>0.250954227110227</v>
      </c>
      <c r="AB65" s="12">
        <v>0.0182009413468322</v>
      </c>
      <c r="AC65" s="38">
        <v>0.515819363906823</v>
      </c>
      <c r="AD65" s="17">
        <v>-0.524917970240517</v>
      </c>
      <c r="AE65" s="12">
        <v>0.6576024952024694</v>
      </c>
      <c r="AF65" s="12">
        <v>2.0176391329413867</v>
      </c>
      <c r="AG65" s="39" t="str">
        <f t="shared" si="1"/>
        <v/>
      </c>
    </row>
    <row r="66">
      <c r="A66" s="23" t="s">
        <v>107</v>
      </c>
      <c r="B66" s="24" t="s">
        <v>56</v>
      </c>
      <c r="C66" s="35">
        <v>72.2</v>
      </c>
      <c r="D66" s="26">
        <v>73.6</v>
      </c>
      <c r="E66" s="27">
        <v>0.805</v>
      </c>
      <c r="F66" s="28">
        <v>4407.485562674211</v>
      </c>
      <c r="G66" s="29" t="s">
        <v>28</v>
      </c>
      <c r="H66" s="24" t="s">
        <v>36</v>
      </c>
      <c r="I66" s="11">
        <v>4.00293994140625</v>
      </c>
      <c r="J66" s="12">
        <v>0.130682026401163</v>
      </c>
      <c r="K66" s="12">
        <v>0.210489357676955</v>
      </c>
      <c r="L66" s="12">
        <v>0.0655825450557768</v>
      </c>
      <c r="M66" s="12">
        <v>0.193584580337111</v>
      </c>
      <c r="N66" s="12">
        <v>0.0473104252717057</v>
      </c>
      <c r="O66" s="12">
        <v>0.909794894331921</v>
      </c>
      <c r="P66" s="36">
        <v>1.55744382907463</v>
      </c>
      <c r="Q66" s="12">
        <v>0.39093174390005</v>
      </c>
      <c r="R66" s="12">
        <v>0.176733381861698</v>
      </c>
      <c r="S66" s="12">
        <v>0.136249524609514</v>
      </c>
      <c r="T66" s="12">
        <v>0.194319627426926</v>
      </c>
      <c r="U66" s="12">
        <v>0.0473104252717057</v>
      </c>
      <c r="V66" s="12">
        <v>1.37436387226451</v>
      </c>
      <c r="W66" s="37">
        <v>2.3199085753344</v>
      </c>
      <c r="X66" s="12">
        <v>0.130682026401163</v>
      </c>
      <c r="Y66" s="12">
        <v>0.395360674550824</v>
      </c>
      <c r="Z66" s="12">
        <v>0.641233755653081</v>
      </c>
      <c r="AA66" s="12">
        <v>0.0490383202985073</v>
      </c>
      <c r="AB66" s="12">
        <v>0.0473104252717057</v>
      </c>
      <c r="AC66" s="38">
        <v>1.26362520217528</v>
      </c>
      <c r="AD66" s="17">
        <v>-1.05628337315912</v>
      </c>
      <c r="AE66" s="12">
        <v>1.4658623436732856</v>
      </c>
      <c r="AF66" s="12">
        <v>1.8359150888576536</v>
      </c>
      <c r="AG66" s="34">
        <f t="shared" si="1"/>
        <v>249.0001886</v>
      </c>
    </row>
    <row r="67">
      <c r="A67" s="23" t="s">
        <v>108</v>
      </c>
      <c r="B67" s="24" t="s">
        <v>27</v>
      </c>
      <c r="C67" s="35">
        <v>82.5</v>
      </c>
      <c r="D67" s="26">
        <v>80.8927</v>
      </c>
      <c r="E67" s="27">
        <v>0.946</v>
      </c>
      <c r="F67" s="28">
        <v>47158.2360135501</v>
      </c>
      <c r="G67" s="29" t="s">
        <v>47</v>
      </c>
      <c r="H67" s="24" t="s">
        <v>40</v>
      </c>
      <c r="I67" s="11">
        <v>83.1243984375</v>
      </c>
      <c r="J67" s="12">
        <v>0.532445130529998</v>
      </c>
      <c r="K67" s="12">
        <v>0.0815395124714201</v>
      </c>
      <c r="L67" s="12">
        <v>0.542859069624617</v>
      </c>
      <c r="M67" s="12">
        <v>0.0262644462942426</v>
      </c>
      <c r="N67" s="12">
        <v>0.128824170125022</v>
      </c>
      <c r="O67" s="12">
        <v>2.97048729469038</v>
      </c>
      <c r="P67" s="36">
        <v>4.28241962373568</v>
      </c>
      <c r="Q67" s="12">
        <v>0.692994815385752</v>
      </c>
      <c r="R67" s="12">
        <v>0.187526154235117</v>
      </c>
      <c r="S67" s="12">
        <v>0.577515299752377</v>
      </c>
      <c r="T67" s="12">
        <v>0.0435067668082716</v>
      </c>
      <c r="U67" s="12">
        <v>0.128824170125022</v>
      </c>
      <c r="V67" s="12">
        <v>3.04197061500531</v>
      </c>
      <c r="W67" s="37">
        <v>4.67233782131185</v>
      </c>
      <c r="X67" s="12">
        <v>0.532445130529998</v>
      </c>
      <c r="Y67" s="12">
        <v>0.0815395124714201</v>
      </c>
      <c r="Z67" s="12">
        <v>0.678891103161953</v>
      </c>
      <c r="AA67" s="12">
        <v>0.072217659671122</v>
      </c>
      <c r="AB67" s="12">
        <v>0.128824170125022</v>
      </c>
      <c r="AC67" s="38">
        <v>1.49391757595952</v>
      </c>
      <c r="AD67" s="17">
        <v>-3.1784202453523305</v>
      </c>
      <c r="AE67" s="12">
        <v>2.9522732671455736</v>
      </c>
      <c r="AF67" s="12">
        <v>3.127574035207987</v>
      </c>
      <c r="AG67" s="34">
        <f t="shared" si="1"/>
        <v>123.6335417</v>
      </c>
    </row>
    <row r="68">
      <c r="A68" s="23" t="s">
        <v>109</v>
      </c>
      <c r="B68" s="24" t="s">
        <v>27</v>
      </c>
      <c r="C68" s="35">
        <v>62.5</v>
      </c>
      <c r="D68" s="26">
        <v>63.78</v>
      </c>
      <c r="E68" s="27">
        <v>0.606</v>
      </c>
      <c r="F68" s="28">
        <v>1808.3286818796112</v>
      </c>
      <c r="G68" s="29" t="s">
        <v>34</v>
      </c>
      <c r="H68" s="24" t="s">
        <v>36</v>
      </c>
      <c r="I68" s="11">
        <v>29.7670996093749</v>
      </c>
      <c r="J68" s="12">
        <v>0.753691144062213</v>
      </c>
      <c r="K68" s="12">
        <v>0.0594574813946058</v>
      </c>
      <c r="L68" s="12">
        <v>0.666246343441352</v>
      </c>
      <c r="M68" s="12">
        <v>0.114841555608617</v>
      </c>
      <c r="N68" s="12">
        <v>0.0940411993107111</v>
      </c>
      <c r="O68" s="12">
        <v>0.205188789757857</v>
      </c>
      <c r="P68" s="36">
        <v>1.89346651357536</v>
      </c>
      <c r="Q68" s="12">
        <v>0.585513633138257</v>
      </c>
      <c r="R68" s="12">
        <v>0.0758193425281547</v>
      </c>
      <c r="S68" s="12">
        <v>0.675229785717592</v>
      </c>
      <c r="T68" s="12">
        <v>0.17823779692443</v>
      </c>
      <c r="U68" s="12">
        <v>0.0940411993107111</v>
      </c>
      <c r="V68" s="12">
        <v>0.395822774157793</v>
      </c>
      <c r="W68" s="37">
        <v>2.00466453177694</v>
      </c>
      <c r="X68" s="12">
        <v>0.753691144062213</v>
      </c>
      <c r="Y68" s="12">
        <v>0.193536041972062</v>
      </c>
      <c r="Z68" s="12">
        <v>0.207244222819569</v>
      </c>
      <c r="AA68" s="12">
        <v>0.0512560322480578</v>
      </c>
      <c r="AB68" s="12">
        <v>0.0940411993107111</v>
      </c>
      <c r="AC68" s="38">
        <v>1.29976864041261</v>
      </c>
      <c r="AD68" s="17">
        <v>-0.7048958913643297</v>
      </c>
      <c r="AE68" s="12">
        <v>1.2666715749372492</v>
      </c>
      <c r="AF68" s="12">
        <v>1.5423241255771192</v>
      </c>
      <c r="AG68" s="34">
        <f t="shared" si="1"/>
        <v>288.1567781</v>
      </c>
    </row>
    <row r="69">
      <c r="A69" s="23" t="s">
        <v>110</v>
      </c>
      <c r="B69" s="24" t="s">
        <v>27</v>
      </c>
      <c r="C69" s="35">
        <v>75.4</v>
      </c>
      <c r="D69" s="26">
        <v>81.7878</v>
      </c>
      <c r="E69" s="27">
        <v>0.881</v>
      </c>
      <c r="F69" s="28">
        <v>24044.400914621503</v>
      </c>
      <c r="G69" s="29" t="s">
        <v>47</v>
      </c>
      <c r="H69" s="24" t="s">
        <v>40</v>
      </c>
      <c r="I69" s="11">
        <v>10.522200195312399</v>
      </c>
      <c r="J69" s="12">
        <v>0.567387697795017</v>
      </c>
      <c r="K69" s="12">
        <v>0.149852671477182</v>
      </c>
      <c r="L69" s="12">
        <v>0.0657905439211601</v>
      </c>
      <c r="M69" s="12">
        <v>0.044834693861003</v>
      </c>
      <c r="N69" s="12">
        <v>0.0495053821767249</v>
      </c>
      <c r="O69" s="12">
        <v>2.14409320297924</v>
      </c>
      <c r="P69" s="36">
        <v>3.02146419221033</v>
      </c>
      <c r="Q69" s="12">
        <v>0.702938900865339</v>
      </c>
      <c r="R69" s="12">
        <v>0.377461489081312</v>
      </c>
      <c r="S69" s="12">
        <v>0.302572964255066</v>
      </c>
      <c r="T69" s="12">
        <v>0.101197553545938</v>
      </c>
      <c r="U69" s="12">
        <v>0.0495053821767249</v>
      </c>
      <c r="V69" s="12">
        <v>2.56537900786244</v>
      </c>
      <c r="W69" s="37">
        <v>4.09905529778682</v>
      </c>
      <c r="X69" s="12">
        <v>0.567387697795017</v>
      </c>
      <c r="Y69" s="12">
        <v>0.149852671477182</v>
      </c>
      <c r="Z69" s="12">
        <v>0.219358909521666</v>
      </c>
      <c r="AA69" s="12">
        <v>0.182108479778591</v>
      </c>
      <c r="AB69" s="12">
        <v>0.0495053821767249</v>
      </c>
      <c r="AC69" s="38">
        <v>1.16821314074918</v>
      </c>
      <c r="AD69" s="17">
        <v>-2.93084215703764</v>
      </c>
      <c r="AE69" s="12">
        <v>2.5900377581879823</v>
      </c>
      <c r="AF69" s="12">
        <v>3.5088248495116896</v>
      </c>
      <c r="AG69" s="34">
        <f t="shared" si="1"/>
        <v>140.9245865</v>
      </c>
    </row>
    <row r="70">
      <c r="A70" s="23" t="s">
        <v>111</v>
      </c>
      <c r="B70" s="24" t="s">
        <v>38</v>
      </c>
      <c r="C70" s="25"/>
      <c r="D70" s="26">
        <v>72.384</v>
      </c>
      <c r="E70" s="27">
        <v>0.773</v>
      </c>
      <c r="F70" s="28">
        <v>9091.732718056886</v>
      </c>
      <c r="G70" s="29" t="s">
        <v>39</v>
      </c>
      <c r="H70" s="24" t="s">
        <v>32</v>
      </c>
      <c r="I70" s="11">
        <v>0.11145400238037</v>
      </c>
      <c r="J70" s="30"/>
      <c r="K70" s="30"/>
      <c r="L70" s="30"/>
      <c r="M70" s="30"/>
      <c r="N70" s="30"/>
      <c r="O70" s="30"/>
      <c r="P70" s="36">
        <v>1.69506994341453</v>
      </c>
      <c r="Q70" s="30"/>
      <c r="R70" s="30"/>
      <c r="S70" s="30"/>
      <c r="T70" s="30"/>
      <c r="U70" s="30"/>
      <c r="V70" s="30"/>
      <c r="W70" s="37">
        <v>2.53614198227368</v>
      </c>
      <c r="X70" s="30"/>
      <c r="Y70" s="30"/>
      <c r="Z70" s="30"/>
      <c r="AA70" s="30"/>
      <c r="AB70" s="30"/>
      <c r="AC70" s="38">
        <v>2.09815339547306</v>
      </c>
      <c r="AD70" s="17">
        <v>-0.4379885868006199</v>
      </c>
      <c r="AE70" s="12">
        <v>1.6024920419495563</v>
      </c>
      <c r="AF70" s="12">
        <v>1.2087495546062632</v>
      </c>
      <c r="AG70" s="34">
        <f t="shared" si="1"/>
        <v>227.7702419</v>
      </c>
    </row>
    <row r="71">
      <c r="A71" s="23" t="s">
        <v>112</v>
      </c>
      <c r="B71" s="24" t="s">
        <v>38</v>
      </c>
      <c r="C71" s="25" t="s">
        <v>103</v>
      </c>
      <c r="D71" s="40" t="s">
        <v>103</v>
      </c>
      <c r="E71" s="41" t="s">
        <v>103</v>
      </c>
      <c r="F71" s="42" t="s">
        <v>103</v>
      </c>
      <c r="G71" s="29" t="s">
        <v>39</v>
      </c>
      <c r="H71" s="29"/>
      <c r="I71" s="11">
        <v>0.39984799194335796</v>
      </c>
      <c r="J71" s="30"/>
      <c r="K71" s="30"/>
      <c r="L71" s="30"/>
      <c r="M71" s="30"/>
      <c r="N71" s="30"/>
      <c r="O71" s="30"/>
      <c r="P71" s="36">
        <v>2.11442702754376</v>
      </c>
      <c r="Q71" s="30"/>
      <c r="R71" s="30"/>
      <c r="S71" s="30"/>
      <c r="T71" s="30"/>
      <c r="U71" s="30"/>
      <c r="V71" s="30"/>
      <c r="W71" s="37">
        <v>3.61729827220633</v>
      </c>
      <c r="X71" s="30"/>
      <c r="Y71" s="30"/>
      <c r="Z71" s="30"/>
      <c r="AA71" s="30"/>
      <c r="AB71" s="30"/>
      <c r="AC71" s="38">
        <v>0.514995006638606</v>
      </c>
      <c r="AD71" s="17">
        <v>-3.102303265567724</v>
      </c>
      <c r="AE71" s="12">
        <v>2.2856337441217405</v>
      </c>
      <c r="AF71" s="12">
        <v>7.023948243336547</v>
      </c>
      <c r="AG71" s="34">
        <f t="shared" si="1"/>
        <v>159.6931271</v>
      </c>
    </row>
    <row r="72">
      <c r="A72" s="23" t="s">
        <v>113</v>
      </c>
      <c r="B72" s="24" t="s">
        <v>27</v>
      </c>
      <c r="C72" s="35">
        <v>59.9</v>
      </c>
      <c r="D72" s="26">
        <v>74.063</v>
      </c>
      <c r="E72" s="27">
        <v>0.657</v>
      </c>
      <c r="F72" s="28">
        <v>3164.1773169903868</v>
      </c>
      <c r="G72" s="29" t="s">
        <v>39</v>
      </c>
      <c r="H72" s="24" t="s">
        <v>36</v>
      </c>
      <c r="I72" s="11">
        <v>17.2478007812499</v>
      </c>
      <c r="J72" s="12">
        <v>0.414234621941605</v>
      </c>
      <c r="K72" s="12">
        <v>0.139119143408031</v>
      </c>
      <c r="L72" s="12">
        <v>0.483459840046466</v>
      </c>
      <c r="M72" s="12">
        <v>0.0217511493748833</v>
      </c>
      <c r="N72" s="12">
        <v>0.0857631772816232</v>
      </c>
      <c r="O72" s="12">
        <v>0.358558011250914</v>
      </c>
      <c r="P72" s="36">
        <v>1.50288594330352</v>
      </c>
      <c r="Q72" s="12">
        <v>0.413515325000872</v>
      </c>
      <c r="R72" s="12">
        <v>0.160352894683445</v>
      </c>
      <c r="S72" s="12">
        <v>0.570213142460602</v>
      </c>
      <c r="T72" s="12">
        <v>0.026855815455544</v>
      </c>
      <c r="U72" s="12">
        <v>0.0857631772816232</v>
      </c>
      <c r="V72" s="12">
        <v>0.56313201426949</v>
      </c>
      <c r="W72" s="37">
        <v>1.81983236915158</v>
      </c>
      <c r="X72" s="12">
        <v>0.414234621941605</v>
      </c>
      <c r="Y72" s="12">
        <v>0.139119143408031</v>
      </c>
      <c r="Z72" s="12">
        <v>0.284525304683913</v>
      </c>
      <c r="AA72" s="12">
        <v>0.0408783790628533</v>
      </c>
      <c r="AB72" s="12">
        <v>0.0857631772816232</v>
      </c>
      <c r="AC72" s="38">
        <v>0.964520626378026</v>
      </c>
      <c r="AD72" s="17">
        <v>-0.855311742773554</v>
      </c>
      <c r="AE72" s="12">
        <v>1.1498831333698234</v>
      </c>
      <c r="AF72" s="12">
        <v>1.8867739262201433</v>
      </c>
      <c r="AG72" s="34">
        <f t="shared" si="1"/>
        <v>317.4235619</v>
      </c>
    </row>
    <row r="73">
      <c r="A73" s="23" t="s">
        <v>114</v>
      </c>
      <c r="B73" s="24" t="s">
        <v>27</v>
      </c>
      <c r="C73" s="35">
        <v>51.0</v>
      </c>
      <c r="D73" s="26">
        <v>61.185</v>
      </c>
      <c r="E73" s="27">
        <v>0.473</v>
      </c>
      <c r="F73" s="28">
        <v>897.1186595473429</v>
      </c>
      <c r="G73" s="29" t="s">
        <v>34</v>
      </c>
      <c r="H73" s="24" t="s">
        <v>29</v>
      </c>
      <c r="I73" s="11">
        <v>12.4142998046874</v>
      </c>
      <c r="J73" s="12">
        <v>0.464089244308807</v>
      </c>
      <c r="K73" s="12">
        <v>0.483279919747273</v>
      </c>
      <c r="L73" s="12">
        <v>0.411296678275782</v>
      </c>
      <c r="M73" s="12">
        <v>0.0869638707114626</v>
      </c>
      <c r="N73" s="12">
        <v>0.0597939900252902</v>
      </c>
      <c r="O73" s="12">
        <v>0.0753526259083825</v>
      </c>
      <c r="P73" s="36">
        <v>1.580776328977</v>
      </c>
      <c r="Q73" s="12">
        <v>0.616641405233667</v>
      </c>
      <c r="R73" s="12">
        <v>0.492293943821448</v>
      </c>
      <c r="S73" s="12">
        <v>0.412389150618869</v>
      </c>
      <c r="T73" s="12">
        <v>0.0856299843252342</v>
      </c>
      <c r="U73" s="12">
        <v>0.0597939900252902</v>
      </c>
      <c r="V73" s="12">
        <v>0.177267441338108</v>
      </c>
      <c r="W73" s="37">
        <v>1.84401591536262</v>
      </c>
      <c r="X73" s="12">
        <v>0.464089244308807</v>
      </c>
      <c r="Y73" s="12">
        <v>0.694660275632091</v>
      </c>
      <c r="Z73" s="12">
        <v>0.558303022864292</v>
      </c>
      <c r="AA73" s="12">
        <v>0.281397939959866</v>
      </c>
      <c r="AB73" s="12">
        <v>0.0597939900252902</v>
      </c>
      <c r="AC73" s="38">
        <v>2.05824447279035</v>
      </c>
      <c r="AD73" s="21">
        <v>0.21422855742773006</v>
      </c>
      <c r="AE73" s="12">
        <v>1.1651638000754658</v>
      </c>
      <c r="AF73" s="12">
        <v>0.8959168552327986</v>
      </c>
      <c r="AG73" s="34">
        <f t="shared" si="1"/>
        <v>313.2606763</v>
      </c>
    </row>
    <row r="74">
      <c r="A74" s="23" t="s">
        <v>115</v>
      </c>
      <c r="B74" s="24" t="s">
        <v>27</v>
      </c>
      <c r="C74" s="25"/>
      <c r="D74" s="26">
        <v>58.003</v>
      </c>
      <c r="E74" s="27">
        <v>0.472</v>
      </c>
      <c r="F74" s="28">
        <v>622.6911218028902</v>
      </c>
      <c r="G74" s="29" t="s">
        <v>34</v>
      </c>
      <c r="H74" s="24" t="s">
        <v>29</v>
      </c>
      <c r="I74" s="11">
        <v>1.8743000488281298</v>
      </c>
      <c r="J74" s="12">
        <v>0.613433329561047</v>
      </c>
      <c r="K74" s="12">
        <v>0.0776554344302399</v>
      </c>
      <c r="L74" s="12">
        <v>0.631120539955623</v>
      </c>
      <c r="M74" s="12">
        <v>0.0127878455482979</v>
      </c>
      <c r="N74" s="12">
        <v>0.0887488594039898</v>
      </c>
      <c r="O74" s="12">
        <v>0.0593462838116487</v>
      </c>
      <c r="P74" s="36">
        <v>1.48309229271085</v>
      </c>
      <c r="Q74" s="12">
        <v>0.568370245740796</v>
      </c>
      <c r="R74" s="12">
        <v>0.0799811264466032</v>
      </c>
      <c r="S74" s="12">
        <v>0.627770398290493</v>
      </c>
      <c r="T74" s="12">
        <v>0.00313963594273725</v>
      </c>
      <c r="U74" s="12">
        <v>0.0887488594039898</v>
      </c>
      <c r="V74" s="12">
        <v>0.099031673929683</v>
      </c>
      <c r="W74" s="37">
        <v>1.4670419397543</v>
      </c>
      <c r="X74" s="12">
        <v>0.613433329561047</v>
      </c>
      <c r="Y74" s="12">
        <v>0.0776554344302399</v>
      </c>
      <c r="Z74" s="12">
        <v>0.294475367959279</v>
      </c>
      <c r="AA74" s="12">
        <v>1.59154483713449</v>
      </c>
      <c r="AB74" s="12">
        <v>0.0887488594039898</v>
      </c>
      <c r="AC74" s="38">
        <v>2.66585782848905</v>
      </c>
      <c r="AD74" s="21">
        <v>1.1988158887347502</v>
      </c>
      <c r="AE74" s="12">
        <v>0.9269682257910802</v>
      </c>
      <c r="AF74" s="12">
        <v>0.5503076435947025</v>
      </c>
      <c r="AG74" s="39" t="str">
        <f t="shared" si="1"/>
        <v/>
      </c>
    </row>
    <row r="75">
      <c r="A75" s="23" t="s">
        <v>116</v>
      </c>
      <c r="B75" s="24" t="s">
        <v>27</v>
      </c>
      <c r="C75" s="35">
        <v>57.9</v>
      </c>
      <c r="D75" s="26">
        <v>69.774</v>
      </c>
      <c r="E75" s="27">
        <v>0.68</v>
      </c>
      <c r="F75" s="28">
        <v>5825.025876670446</v>
      </c>
      <c r="G75" s="29" t="s">
        <v>42</v>
      </c>
      <c r="H75" s="24" t="s">
        <v>36</v>
      </c>
      <c r="I75" s="11">
        <v>0.7790059814453121</v>
      </c>
      <c r="J75" s="12">
        <v>1.00783811923202</v>
      </c>
      <c r="K75" s="12">
        <v>0.056442320758971</v>
      </c>
      <c r="L75" s="12">
        <v>0.677808707796486</v>
      </c>
      <c r="M75" s="12">
        <v>0.0693988241224727</v>
      </c>
      <c r="N75" s="12">
        <v>0.0872455450888413</v>
      </c>
      <c r="O75" s="12">
        <v>1.06256717597343</v>
      </c>
      <c r="P75" s="36">
        <v>2.96130069297222</v>
      </c>
      <c r="Q75" s="12">
        <v>0.884313395269742</v>
      </c>
      <c r="R75" s="12">
        <v>0.0900715909300995</v>
      </c>
      <c r="S75" s="12">
        <v>0.577209865656614</v>
      </c>
      <c r="T75" s="12">
        <v>0.0391443642281447</v>
      </c>
      <c r="U75" s="12">
        <v>0.0872455450888413</v>
      </c>
      <c r="V75" s="12">
        <v>1.7291918207511</v>
      </c>
      <c r="W75" s="37">
        <v>3.40717658192454</v>
      </c>
      <c r="X75" s="12">
        <v>1.00783811923202</v>
      </c>
      <c r="Y75" s="12">
        <v>0.977860852204674</v>
      </c>
      <c r="Z75" s="12">
        <v>65.4043823188789</v>
      </c>
      <c r="AA75" s="12">
        <v>5.22589270784887</v>
      </c>
      <c r="AB75" s="12">
        <v>0.0872455450888413</v>
      </c>
      <c r="AC75" s="38">
        <v>72.7032195432533</v>
      </c>
      <c r="AD75" s="21">
        <v>69.29604296132875</v>
      </c>
      <c r="AE75" s="12">
        <v>2.1528658080712177</v>
      </c>
      <c r="AF75" s="12">
        <v>0.04686417745086942</v>
      </c>
      <c r="AG75" s="34">
        <f t="shared" si="1"/>
        <v>169.5414543</v>
      </c>
    </row>
    <row r="76">
      <c r="A76" s="23" t="s">
        <v>117</v>
      </c>
      <c r="B76" s="24" t="s">
        <v>27</v>
      </c>
      <c r="C76" s="35">
        <v>51.4</v>
      </c>
      <c r="D76" s="26">
        <v>63.66</v>
      </c>
      <c r="E76" s="27">
        <v>0.508</v>
      </c>
      <c r="F76" s="28">
        <v>1282.238901535785</v>
      </c>
      <c r="G76" s="29" t="s">
        <v>39</v>
      </c>
      <c r="H76" s="24" t="s">
        <v>29</v>
      </c>
      <c r="I76" s="11">
        <v>11.1232001953124</v>
      </c>
      <c r="J76" s="12">
        <v>0.154639544085188</v>
      </c>
      <c r="K76" s="12">
        <v>0.0296672813779617</v>
      </c>
      <c r="L76" s="12">
        <v>0.0867621483390944</v>
      </c>
      <c r="M76" s="12">
        <v>0.00240671423294204</v>
      </c>
      <c r="N76" s="12">
        <v>0.0248390047344574</v>
      </c>
      <c r="O76" s="12">
        <v>0.104943041540918</v>
      </c>
      <c r="P76" s="36">
        <v>0.403257734310562</v>
      </c>
      <c r="Q76" s="12">
        <v>0.325674009667987</v>
      </c>
      <c r="R76" s="12">
        <v>0.0398745751142931</v>
      </c>
      <c r="S76" s="12">
        <v>0.0982110488516714</v>
      </c>
      <c r="T76" s="12">
        <v>0.0197515620927035</v>
      </c>
      <c r="U76" s="12">
        <v>0.0248390047344574</v>
      </c>
      <c r="V76" s="12">
        <v>0.128987739490481</v>
      </c>
      <c r="W76" s="37">
        <v>0.637337939951594</v>
      </c>
      <c r="X76" s="12">
        <v>0.154639544085188</v>
      </c>
      <c r="Y76" s="12">
        <v>0.0296672813779617</v>
      </c>
      <c r="Z76" s="12">
        <v>0.0264241453739337</v>
      </c>
      <c r="AA76" s="12">
        <v>0.010995747739112</v>
      </c>
      <c r="AB76" s="12">
        <v>0.0248390047344574</v>
      </c>
      <c r="AC76" s="38">
        <v>0.246565723310653</v>
      </c>
      <c r="AD76" s="17">
        <v>-0.3907722166409411</v>
      </c>
      <c r="AE76" s="12">
        <v>0.402709699986639</v>
      </c>
      <c r="AF76" s="12">
        <v>2.5848602611669564</v>
      </c>
      <c r="AG76" s="39" t="str">
        <f t="shared" si="1"/>
        <v/>
      </c>
    </row>
    <row r="77">
      <c r="A77" s="23" t="s">
        <v>118</v>
      </c>
      <c r="B77" s="24" t="s">
        <v>38</v>
      </c>
      <c r="C77" s="35">
        <v>62.8</v>
      </c>
      <c r="D77" s="26">
        <v>75.088</v>
      </c>
      <c r="E77" s="27">
        <v>0.633</v>
      </c>
      <c r="F77" s="28">
        <v>2219.437460402829</v>
      </c>
      <c r="G77" s="29" t="s">
        <v>39</v>
      </c>
      <c r="H77" s="24" t="s">
        <v>36</v>
      </c>
      <c r="I77" s="11">
        <v>9.58751953124999</v>
      </c>
      <c r="J77" s="30"/>
      <c r="K77" s="30"/>
      <c r="L77" s="30"/>
      <c r="M77" s="30"/>
      <c r="N77" s="30"/>
      <c r="O77" s="30"/>
      <c r="P77" s="36">
        <v>1.37107324839205</v>
      </c>
      <c r="Q77" s="30"/>
      <c r="R77" s="30"/>
      <c r="S77" s="30"/>
      <c r="T77" s="30"/>
      <c r="U77" s="30"/>
      <c r="V77" s="30"/>
      <c r="W77" s="37">
        <v>1.57455470561186</v>
      </c>
      <c r="X77" s="30"/>
      <c r="Y77" s="30"/>
      <c r="Z77" s="30"/>
      <c r="AA77" s="30"/>
      <c r="AB77" s="30"/>
      <c r="AC77" s="38">
        <v>1.73681577038937</v>
      </c>
      <c r="AD77" s="21">
        <v>0.16226106477751</v>
      </c>
      <c r="AE77" s="12">
        <v>0.9949014696311067</v>
      </c>
      <c r="AF77" s="12">
        <v>0.9065755461552878</v>
      </c>
      <c r="AG77" s="39" t="str">
        <f t="shared" si="1"/>
        <v/>
      </c>
    </row>
    <row r="78">
      <c r="A78" s="23" t="s">
        <v>119</v>
      </c>
      <c r="B78" s="24" t="s">
        <v>56</v>
      </c>
      <c r="C78" s="35">
        <v>78.8</v>
      </c>
      <c r="D78" s="26">
        <v>76.0659</v>
      </c>
      <c r="E78" s="27">
        <v>0.85</v>
      </c>
      <c r="F78" s="28">
        <v>16894.15400463559</v>
      </c>
      <c r="G78" s="29" t="s">
        <v>47</v>
      </c>
      <c r="H78" s="24" t="s">
        <v>40</v>
      </c>
      <c r="I78" s="11">
        <v>9.7075</v>
      </c>
      <c r="J78" s="12">
        <v>1.5798867827475</v>
      </c>
      <c r="K78" s="12">
        <v>0.0230807078320014</v>
      </c>
      <c r="L78" s="12">
        <v>0.326661695866919</v>
      </c>
      <c r="M78" s="12">
        <v>0.00213453369680489</v>
      </c>
      <c r="N78" s="12">
        <v>0.178949176324124</v>
      </c>
      <c r="O78" s="12">
        <v>1.74200067504029</v>
      </c>
      <c r="P78" s="36">
        <v>3.85271357150763</v>
      </c>
      <c r="Q78" s="12">
        <v>0.741274263789322</v>
      </c>
      <c r="R78" s="12">
        <v>0.0767484277183756</v>
      </c>
      <c r="S78" s="12">
        <v>0.439703054272428</v>
      </c>
      <c r="T78" s="12">
        <v>0.0252703419712487</v>
      </c>
      <c r="U78" s="12">
        <v>0.178949176324124</v>
      </c>
      <c r="V78" s="12">
        <v>2.40392448542949</v>
      </c>
      <c r="W78" s="37">
        <v>3.86586974950499</v>
      </c>
      <c r="X78" s="12">
        <v>1.5798867827475</v>
      </c>
      <c r="Y78" s="12">
        <v>0.0831310680311197</v>
      </c>
      <c r="Z78" s="12">
        <v>0.723008287231122</v>
      </c>
      <c r="AA78" s="12">
        <v>0.00666840349103168</v>
      </c>
      <c r="AB78" s="12">
        <v>0.178949176324124</v>
      </c>
      <c r="AC78" s="38">
        <v>2.5716437178249</v>
      </c>
      <c r="AD78" s="17">
        <v>-1.2942260316800902</v>
      </c>
      <c r="AE78" s="12">
        <v>2.4426966439952076</v>
      </c>
      <c r="AF78" s="12">
        <v>1.5032680159811362</v>
      </c>
      <c r="AG78" s="34">
        <f t="shared" si="1"/>
        <v>149.4250221</v>
      </c>
    </row>
    <row r="79">
      <c r="A79" s="23" t="s">
        <v>120</v>
      </c>
      <c r="B79" s="24" t="s">
        <v>27</v>
      </c>
      <c r="C79" s="35">
        <v>60.1</v>
      </c>
      <c r="D79" s="26">
        <v>69.416</v>
      </c>
      <c r="E79" s="27">
        <v>0.642</v>
      </c>
      <c r="F79" s="28">
        <v>2084.8119233498937</v>
      </c>
      <c r="G79" s="29" t="s">
        <v>45</v>
      </c>
      <c r="H79" s="24" t="s">
        <v>36</v>
      </c>
      <c r="I79" s="11">
        <v>1352.64</v>
      </c>
      <c r="J79" s="12">
        <v>0.343792555339559</v>
      </c>
      <c r="K79" s="12">
        <v>0.00309214079695495</v>
      </c>
      <c r="L79" s="12">
        <v>0.109982927121694</v>
      </c>
      <c r="M79" s="12">
        <v>0.0220069087632841</v>
      </c>
      <c r="N79" s="12">
        <v>0.0512411553213253</v>
      </c>
      <c r="O79" s="12">
        <v>0.628086265971362</v>
      </c>
      <c r="P79" s="36">
        <v>1.15820195331418</v>
      </c>
      <c r="Q79" s="12">
        <v>0.339696201873969</v>
      </c>
      <c r="R79" s="12">
        <v>0.00741874727942789</v>
      </c>
      <c r="S79" s="12">
        <v>0.118340277938022</v>
      </c>
      <c r="T79" s="12">
        <v>0.0163533907424491</v>
      </c>
      <c r="U79" s="12">
        <v>0.0512411553213253</v>
      </c>
      <c r="V79" s="12">
        <v>0.67650672823207</v>
      </c>
      <c r="W79" s="37">
        <v>1.20955650138726</v>
      </c>
      <c r="X79" s="12">
        <v>0.343792555339559</v>
      </c>
      <c r="Y79" s="12">
        <v>0.00309214079695495</v>
      </c>
      <c r="Z79" s="12">
        <v>0.0204907441819644</v>
      </c>
      <c r="AA79" s="12">
        <v>0.0269517095951671</v>
      </c>
      <c r="AB79" s="12">
        <v>0.0512411553213253</v>
      </c>
      <c r="AC79" s="38">
        <v>0.445568305234971</v>
      </c>
      <c r="AD79" s="17">
        <v>-0.763988196152289</v>
      </c>
      <c r="AE79" s="12">
        <v>0.7642729316060293</v>
      </c>
      <c r="AF79" s="12">
        <v>2.714637659762175</v>
      </c>
      <c r="AG79" s="39" t="str">
        <f t="shared" si="1"/>
        <v/>
      </c>
    </row>
    <row r="80">
      <c r="A80" s="23" t="s">
        <v>121</v>
      </c>
      <c r="B80" s="24" t="s">
        <v>27</v>
      </c>
      <c r="C80" s="35">
        <v>66.3</v>
      </c>
      <c r="D80" s="26">
        <v>71.509</v>
      </c>
      <c r="E80" s="27">
        <v>0.712</v>
      </c>
      <c r="F80" s="28">
        <v>4296.318988609167</v>
      </c>
      <c r="G80" s="29" t="s">
        <v>45</v>
      </c>
      <c r="H80" s="24" t="s">
        <v>36</v>
      </c>
      <c r="I80" s="11">
        <v>267.67099999999897</v>
      </c>
      <c r="J80" s="12">
        <v>0.512430767625054</v>
      </c>
      <c r="K80" s="12">
        <v>0.0170728797835669</v>
      </c>
      <c r="L80" s="12">
        <v>0.269002078922699</v>
      </c>
      <c r="M80" s="12">
        <v>0.261174368242327</v>
      </c>
      <c r="N80" s="12">
        <v>0.0611190055269883</v>
      </c>
      <c r="O80" s="12">
        <v>0.736910403603627</v>
      </c>
      <c r="P80" s="36">
        <v>1.85770950370426</v>
      </c>
      <c r="Q80" s="12">
        <v>0.498682410337211</v>
      </c>
      <c r="R80" s="12">
        <v>0.0427266739927918</v>
      </c>
      <c r="S80" s="12">
        <v>0.182644735357864</v>
      </c>
      <c r="T80" s="12">
        <v>0.229114552070218</v>
      </c>
      <c r="U80" s="12">
        <v>0.0611190055269883</v>
      </c>
      <c r="V80" s="12">
        <v>0.702893673580693</v>
      </c>
      <c r="W80" s="37">
        <v>1.71718105086577</v>
      </c>
      <c r="X80" s="12">
        <v>0.512430767625054</v>
      </c>
      <c r="Y80" s="12">
        <v>0.0521330967887828</v>
      </c>
      <c r="Z80" s="12">
        <v>0.269884735010796</v>
      </c>
      <c r="AA80" s="12">
        <v>0.344678093699608</v>
      </c>
      <c r="AB80" s="12">
        <v>0.0611190055269883</v>
      </c>
      <c r="AC80" s="38">
        <v>1.24024569865123</v>
      </c>
      <c r="AD80" s="17">
        <v>-0.4769353522145401</v>
      </c>
      <c r="AE80" s="12">
        <v>1.0850216540842013</v>
      </c>
      <c r="AF80" s="12">
        <v>1.3845490879212146</v>
      </c>
      <c r="AG80" s="34">
        <f t="shared" si="1"/>
        <v>336.3988162</v>
      </c>
    </row>
    <row r="81">
      <c r="A81" s="23" t="s">
        <v>122</v>
      </c>
      <c r="B81" s="24" t="s">
        <v>56</v>
      </c>
      <c r="C81" s="35">
        <v>70.0</v>
      </c>
      <c r="D81" s="26">
        <v>76.479</v>
      </c>
      <c r="E81" s="27">
        <v>0.785</v>
      </c>
      <c r="F81" s="28">
        <v>6442.526789263397</v>
      </c>
      <c r="G81" s="29" t="s">
        <v>28</v>
      </c>
      <c r="H81" s="24" t="s">
        <v>32</v>
      </c>
      <c r="I81" s="11">
        <v>81.800203125</v>
      </c>
      <c r="J81" s="12">
        <v>0.347726614828253</v>
      </c>
      <c r="K81" s="12">
        <v>0.0662104009485047</v>
      </c>
      <c r="L81" s="12">
        <v>0.00366748433000597</v>
      </c>
      <c r="M81" s="12">
        <v>0.185180459043809</v>
      </c>
      <c r="N81" s="12">
        <v>0.0722626409460704</v>
      </c>
      <c r="O81" s="12">
        <v>2.63645842067815</v>
      </c>
      <c r="P81" s="36">
        <v>3.3115060207748</v>
      </c>
      <c r="Q81" s="12">
        <v>0.561129416618865</v>
      </c>
      <c r="R81" s="12">
        <v>0.0959904004205907</v>
      </c>
      <c r="S81" s="12">
        <v>0.0482199696039065</v>
      </c>
      <c r="T81" s="12">
        <v>0.162093706816245</v>
      </c>
      <c r="U81" s="12">
        <v>0.0722626409460704</v>
      </c>
      <c r="V81" s="12">
        <v>2.31882858089438</v>
      </c>
      <c r="W81" s="37">
        <v>3.25852471530005</v>
      </c>
      <c r="X81" s="12">
        <v>0.347726614828253</v>
      </c>
      <c r="Y81" s="12">
        <v>0.0662104009485047</v>
      </c>
      <c r="Z81" s="12">
        <v>0.0576213374054003</v>
      </c>
      <c r="AA81" s="12">
        <v>0.181347044193107</v>
      </c>
      <c r="AB81" s="12">
        <v>0.0722626409460704</v>
      </c>
      <c r="AC81" s="38">
        <v>0.725168038321336</v>
      </c>
      <c r="AD81" s="17">
        <v>-2.533356676978714</v>
      </c>
      <c r="AE81" s="12">
        <v>2.058938324928838</v>
      </c>
      <c r="AF81" s="12">
        <v>4.493475364472881</v>
      </c>
      <c r="AG81" s="34">
        <f t="shared" si="1"/>
        <v>177.2758298</v>
      </c>
    </row>
    <row r="82">
      <c r="A82" s="23" t="s">
        <v>123</v>
      </c>
      <c r="B82" s="24" t="s">
        <v>56</v>
      </c>
      <c r="C82" s="35">
        <v>63.8</v>
      </c>
      <c r="D82" s="26">
        <v>70.454</v>
      </c>
      <c r="E82" s="27">
        <v>0.671</v>
      </c>
      <c r="F82" s="28">
        <v>5463.968804966208</v>
      </c>
      <c r="G82" s="29" t="s">
        <v>28</v>
      </c>
      <c r="H82" s="24" t="s">
        <v>36</v>
      </c>
      <c r="I82" s="11">
        <v>38.4336015624999</v>
      </c>
      <c r="J82" s="12">
        <v>0.0795607794435703</v>
      </c>
      <c r="K82" s="12">
        <v>0.0160751472616668</v>
      </c>
      <c r="L82" s="12">
        <v>0.00222324526011514</v>
      </c>
      <c r="M82" s="12">
        <v>0.00154587700111708</v>
      </c>
      <c r="N82" s="12">
        <v>0.0189125821639658</v>
      </c>
      <c r="O82" s="12">
        <v>1.16966057076554</v>
      </c>
      <c r="P82" s="36">
        <v>1.28797820189598</v>
      </c>
      <c r="Q82" s="12">
        <v>0.377793883839003</v>
      </c>
      <c r="R82" s="12">
        <v>0.0491718638349949</v>
      </c>
      <c r="S82" s="12">
        <v>0.0242881527503608</v>
      </c>
      <c r="T82" s="12">
        <v>0.0102363239468494</v>
      </c>
      <c r="U82" s="12">
        <v>0.0189125821639658</v>
      </c>
      <c r="V82" s="12">
        <v>1.28392824063611</v>
      </c>
      <c r="W82" s="37">
        <v>1.76433104717128</v>
      </c>
      <c r="X82" s="12">
        <v>0.0795607794435703</v>
      </c>
      <c r="Y82" s="12">
        <v>0.0160751472616668</v>
      </c>
      <c r="Z82" s="12">
        <v>0.039578160146324</v>
      </c>
      <c r="AA82" s="12">
        <v>0.00204827577548811</v>
      </c>
      <c r="AB82" s="12">
        <v>0.0189125821639658</v>
      </c>
      <c r="AC82" s="38">
        <v>0.156174944791015</v>
      </c>
      <c r="AD82" s="17">
        <v>-1.608156102380265</v>
      </c>
      <c r="AE82" s="12">
        <v>1.1148139505666688</v>
      </c>
      <c r="AF82" s="12">
        <v>11.297145323356533</v>
      </c>
      <c r="AG82" s="34">
        <f t="shared" si="1"/>
        <v>327.4088917</v>
      </c>
    </row>
    <row r="83">
      <c r="A83" s="23" t="s">
        <v>124</v>
      </c>
      <c r="B83" s="24" t="s">
        <v>56</v>
      </c>
      <c r="C83" s="35">
        <v>81.0</v>
      </c>
      <c r="D83" s="26">
        <v>82.2561</v>
      </c>
      <c r="E83" s="27">
        <v>0.951</v>
      </c>
      <c r="F83" s="28">
        <v>77406.93104050336</v>
      </c>
      <c r="G83" s="29" t="s">
        <v>47</v>
      </c>
      <c r="H83" s="24" t="s">
        <v>40</v>
      </c>
      <c r="I83" s="11">
        <v>4.81868994140624</v>
      </c>
      <c r="J83" s="12">
        <v>0.388757880981797</v>
      </c>
      <c r="K83" s="12">
        <v>0.730523137374873</v>
      </c>
      <c r="L83" s="12">
        <v>0.496037791897074</v>
      </c>
      <c r="M83" s="12">
        <v>0.384090586030775</v>
      </c>
      <c r="N83" s="12">
        <v>0.0770595046519892</v>
      </c>
      <c r="O83" s="12">
        <v>2.65830882404985</v>
      </c>
      <c r="P83" s="36">
        <v>4.73477772498636</v>
      </c>
      <c r="Q83" s="12">
        <v>0.939299173015885</v>
      </c>
      <c r="R83" s="12">
        <v>0.324401160107655</v>
      </c>
      <c r="S83" s="12">
        <v>0.594408197939895</v>
      </c>
      <c r="T83" s="12">
        <v>0.149722130461269</v>
      </c>
      <c r="U83" s="12">
        <v>0.0770595046519892</v>
      </c>
      <c r="V83" s="12">
        <v>3.16601151248223</v>
      </c>
      <c r="W83" s="37">
        <v>5.25090167865892</v>
      </c>
      <c r="X83" s="12">
        <v>0.388757880981797</v>
      </c>
      <c r="Y83" s="12">
        <v>0.730523137374873</v>
      </c>
      <c r="Z83" s="12">
        <v>0.457542213970211</v>
      </c>
      <c r="AA83" s="12">
        <v>1.41888061255811</v>
      </c>
      <c r="AB83" s="12">
        <v>0.0770595046519892</v>
      </c>
      <c r="AC83" s="38">
        <v>3.07276334953698</v>
      </c>
      <c r="AD83" s="17">
        <v>-2.17813832912194</v>
      </c>
      <c r="AE83" s="12">
        <v>3.3178458508725788</v>
      </c>
      <c r="AF83" s="12">
        <v>1.7088532637731941</v>
      </c>
      <c r="AG83" s="34">
        <f t="shared" si="1"/>
        <v>110.0111387</v>
      </c>
    </row>
    <row r="84">
      <c r="A84" s="23" t="s">
        <v>125</v>
      </c>
      <c r="B84" s="24" t="s">
        <v>27</v>
      </c>
      <c r="C84" s="35">
        <v>75.0</v>
      </c>
      <c r="D84" s="26">
        <v>82.8024</v>
      </c>
      <c r="E84" s="27">
        <v>0.916</v>
      </c>
      <c r="F84" s="28">
        <v>36866.823354394364</v>
      </c>
      <c r="G84" s="29" t="s">
        <v>28</v>
      </c>
      <c r="H84" s="24" t="s">
        <v>40</v>
      </c>
      <c r="I84" s="11">
        <v>8.38151953125</v>
      </c>
      <c r="J84" s="12">
        <v>0.102443191656472</v>
      </c>
      <c r="K84" s="12">
        <v>0.00607694436082369</v>
      </c>
      <c r="L84" s="12">
        <v>0.00215990026933754</v>
      </c>
      <c r="M84" s="12">
        <v>0.00107674123733061</v>
      </c>
      <c r="N84" s="12">
        <v>0.0343609689929348</v>
      </c>
      <c r="O84" s="12">
        <v>2.55307387249955</v>
      </c>
      <c r="P84" s="36">
        <v>2.69919161901645</v>
      </c>
      <c r="Q84" s="12">
        <v>0.72038694872126</v>
      </c>
      <c r="R84" s="12">
        <v>0.323882251120545</v>
      </c>
      <c r="S84" s="12">
        <v>0.298623285170614</v>
      </c>
      <c r="T84" s="12">
        <v>0.0812216582610219</v>
      </c>
      <c r="U84" s="12">
        <v>0.0343609689929348</v>
      </c>
      <c r="V84" s="12">
        <v>3.20094344521922</v>
      </c>
      <c r="W84" s="37">
        <v>4.65941855748559</v>
      </c>
      <c r="X84" s="12">
        <v>0.102443191656472</v>
      </c>
      <c r="Y84" s="12">
        <v>0.00607694436082369</v>
      </c>
      <c r="Z84" s="12">
        <v>0.0256753947850715</v>
      </c>
      <c r="AA84" s="12">
        <v>0.014640234032181</v>
      </c>
      <c r="AB84" s="12">
        <v>0.0343609689929348</v>
      </c>
      <c r="AC84" s="38">
        <v>0.183196733827483</v>
      </c>
      <c r="AD84" s="17">
        <v>-4.476221823658107</v>
      </c>
      <c r="AE84" s="12">
        <v>2.9441100737541417</v>
      </c>
      <c r="AF84" s="12">
        <v>25.43396085802152</v>
      </c>
      <c r="AG84" s="34">
        <f t="shared" si="1"/>
        <v>123.9763429</v>
      </c>
    </row>
    <row r="85">
      <c r="A85" s="23" t="s">
        <v>126</v>
      </c>
      <c r="B85" s="24" t="s">
        <v>27</v>
      </c>
      <c r="C85" s="35">
        <v>78.8</v>
      </c>
      <c r="D85" s="26">
        <v>83.3463</v>
      </c>
      <c r="E85" s="27">
        <v>0.89</v>
      </c>
      <c r="F85" s="28">
        <v>35277.49798672804</v>
      </c>
      <c r="G85" s="29" t="s">
        <v>47</v>
      </c>
      <c r="H85" s="24" t="s">
        <v>40</v>
      </c>
      <c r="I85" s="11">
        <v>60.6618984374998</v>
      </c>
      <c r="J85" s="12">
        <v>0.373693206732183</v>
      </c>
      <c r="K85" s="12">
        <v>0.0332884176105788</v>
      </c>
      <c r="L85" s="12">
        <v>0.0926354400463493</v>
      </c>
      <c r="M85" s="12">
        <v>0.0226685771194234</v>
      </c>
      <c r="N85" s="12">
        <v>0.0416424439511577</v>
      </c>
      <c r="O85" s="12">
        <v>1.86611073926285</v>
      </c>
      <c r="P85" s="36">
        <v>2.43003882472254</v>
      </c>
      <c r="Q85" s="12">
        <v>0.765745678185857</v>
      </c>
      <c r="R85" s="12">
        <v>0.282116677136357</v>
      </c>
      <c r="S85" s="12">
        <v>0.466807362156335</v>
      </c>
      <c r="T85" s="12">
        <v>0.13545161704492</v>
      </c>
      <c r="U85" s="12">
        <v>0.0416424439511577</v>
      </c>
      <c r="V85" s="12">
        <v>2.61876884262477</v>
      </c>
      <c r="W85" s="37">
        <v>4.3105326210994</v>
      </c>
      <c r="X85" s="12">
        <v>0.373693206732183</v>
      </c>
      <c r="Y85" s="12">
        <v>0.0332884176105788</v>
      </c>
      <c r="Z85" s="12">
        <v>0.312043397262073</v>
      </c>
      <c r="AA85" s="12">
        <v>0.0608034022072346</v>
      </c>
      <c r="AB85" s="12">
        <v>0.0416424439511577</v>
      </c>
      <c r="AC85" s="38">
        <v>0.821470867763227</v>
      </c>
      <c r="AD85" s="17">
        <v>-3.4890617533361725</v>
      </c>
      <c r="AE85" s="12">
        <v>2.7236622673952247</v>
      </c>
      <c r="AF85" s="12">
        <v>5.247334738523956</v>
      </c>
      <c r="AG85" s="34">
        <f t="shared" si="1"/>
        <v>134.0107415</v>
      </c>
    </row>
    <row r="86">
      <c r="A86" s="23" t="s">
        <v>127</v>
      </c>
      <c r="B86" s="24" t="s">
        <v>27</v>
      </c>
      <c r="C86" s="35">
        <v>69.0</v>
      </c>
      <c r="D86" s="26">
        <v>74.368</v>
      </c>
      <c r="E86" s="27">
        <v>0.734</v>
      </c>
      <c r="F86" s="28">
        <v>4855.273532157433</v>
      </c>
      <c r="G86" s="29" t="s">
        <v>39</v>
      </c>
      <c r="H86" s="24" t="s">
        <v>32</v>
      </c>
      <c r="I86" s="11">
        <v>2.9348500976562404</v>
      </c>
      <c r="J86" s="12">
        <v>0.111248232544828</v>
      </c>
      <c r="K86" s="12">
        <v>0.0</v>
      </c>
      <c r="L86" s="12">
        <v>0.101302674997861</v>
      </c>
      <c r="M86" s="12">
        <v>0.0062027830175142</v>
      </c>
      <c r="N86" s="12">
        <v>0.0331781543225395</v>
      </c>
      <c r="O86" s="12">
        <v>0.999181924297829</v>
      </c>
      <c r="P86" s="36">
        <v>1.25111376918057</v>
      </c>
      <c r="Q86" s="12">
        <v>0.423745728719369</v>
      </c>
      <c r="R86" s="12">
        <v>0.0833046521617368</v>
      </c>
      <c r="S86" s="12">
        <v>0.176773950271544</v>
      </c>
      <c r="T86" s="12">
        <v>0.0902684075688711</v>
      </c>
      <c r="U86" s="12">
        <v>0.0331781543225395</v>
      </c>
      <c r="V86" s="12">
        <v>0.826584922653549</v>
      </c>
      <c r="W86" s="37">
        <v>1.63385581569761</v>
      </c>
      <c r="X86" s="12">
        <v>0.111248232544828</v>
      </c>
      <c r="Y86" s="12">
        <v>0.0</v>
      </c>
      <c r="Z86" s="12">
        <v>0.166891630685438</v>
      </c>
      <c r="AA86" s="12">
        <v>0.107362413274779</v>
      </c>
      <c r="AB86" s="12">
        <v>0.0331781543225395</v>
      </c>
      <c r="AC86" s="38">
        <v>0.418680430827583</v>
      </c>
      <c r="AD86" s="17">
        <v>-1.2151753848700269</v>
      </c>
      <c r="AE86" s="12">
        <v>1.0323715945907486</v>
      </c>
      <c r="AF86" s="12">
        <v>3.902393556985827</v>
      </c>
      <c r="AG86" s="34">
        <f t="shared" si="1"/>
        <v>353.5548652</v>
      </c>
    </row>
    <row r="87">
      <c r="A87" s="23" t="s">
        <v>128</v>
      </c>
      <c r="B87" s="24" t="s">
        <v>27</v>
      </c>
      <c r="C87" s="35">
        <v>79.8</v>
      </c>
      <c r="D87" s="26">
        <v>84.211</v>
      </c>
      <c r="E87" s="27">
        <v>0.917</v>
      </c>
      <c r="F87" s="28">
        <v>48505.52664266323</v>
      </c>
      <c r="G87" s="29" t="s">
        <v>45</v>
      </c>
      <c r="H87" s="24" t="s">
        <v>40</v>
      </c>
      <c r="I87" s="11">
        <v>127.201999999999</v>
      </c>
      <c r="J87" s="12">
        <v>0.084842001953366</v>
      </c>
      <c r="K87" s="12">
        <v>3.06992960134644E-5</v>
      </c>
      <c r="L87" s="12">
        <v>0.144963165745261</v>
      </c>
      <c r="M87" s="12">
        <v>0.164612138452511</v>
      </c>
      <c r="N87" s="12">
        <v>0.0604903805222902</v>
      </c>
      <c r="O87" s="12">
        <v>3.11011018147148</v>
      </c>
      <c r="P87" s="36">
        <v>3.56504856744092</v>
      </c>
      <c r="Q87" s="12">
        <v>0.439604144787847</v>
      </c>
      <c r="R87" s="12">
        <v>0.122229939378897</v>
      </c>
      <c r="S87" s="12">
        <v>0.226045669374949</v>
      </c>
      <c r="T87" s="12">
        <v>0.25903895801731</v>
      </c>
      <c r="U87" s="12">
        <v>0.0604903805222902</v>
      </c>
      <c r="V87" s="12">
        <v>3.50028329391802</v>
      </c>
      <c r="W87" s="37">
        <v>4.60769238599932</v>
      </c>
      <c r="X87" s="12">
        <v>0.0848420019533659</v>
      </c>
      <c r="Y87" s="12">
        <v>0.00745216834716065</v>
      </c>
      <c r="Z87" s="12">
        <v>0.339437266189007</v>
      </c>
      <c r="AA87" s="12">
        <v>0.0998715654057646</v>
      </c>
      <c r="AB87" s="12">
        <v>0.0604903805222902</v>
      </c>
      <c r="AC87" s="38">
        <v>0.592093382417589</v>
      </c>
      <c r="AD87" s="17">
        <v>-4.01559900358173</v>
      </c>
      <c r="AE87" s="12">
        <v>2.9114262655341645</v>
      </c>
      <c r="AF87" s="12">
        <v>7.782036622644815</v>
      </c>
      <c r="AG87" s="34">
        <f t="shared" si="1"/>
        <v>125.3681071</v>
      </c>
    </row>
    <row r="88">
      <c r="A88" s="23" t="s">
        <v>129</v>
      </c>
      <c r="B88" s="24" t="s">
        <v>27</v>
      </c>
      <c r="C88" s="35">
        <v>70.1</v>
      </c>
      <c r="D88" s="26">
        <v>74.405</v>
      </c>
      <c r="E88" s="27">
        <v>0.728</v>
      </c>
      <c r="F88" s="28">
        <v>3306.6573844763175</v>
      </c>
      <c r="G88" s="29" t="s">
        <v>28</v>
      </c>
      <c r="H88" s="24" t="s">
        <v>32</v>
      </c>
      <c r="I88" s="11">
        <v>9.96532031250001</v>
      </c>
      <c r="J88" s="12">
        <v>0.0545734951416523</v>
      </c>
      <c r="K88" s="12">
        <v>0.012390493703575</v>
      </c>
      <c r="L88" s="12">
        <v>0.0140672977215586</v>
      </c>
      <c r="M88" s="12">
        <v>6.16064019211692E-4</v>
      </c>
      <c r="N88" s="12">
        <v>0.0636100201907004</v>
      </c>
      <c r="O88" s="12">
        <v>0.851309767484133</v>
      </c>
      <c r="P88" s="36">
        <v>0.996567138260831</v>
      </c>
      <c r="Q88" s="12">
        <v>0.434926051134579</v>
      </c>
      <c r="R88" s="12">
        <v>0.126572177629127</v>
      </c>
      <c r="S88" s="12">
        <v>0.130518294448979</v>
      </c>
      <c r="T88" s="12">
        <v>0.0235078997103074</v>
      </c>
      <c r="U88" s="12">
        <v>0.0636100201907004</v>
      </c>
      <c r="V88" s="12">
        <v>0.97792141695212</v>
      </c>
      <c r="W88" s="37">
        <v>1.75705586006581</v>
      </c>
      <c r="X88" s="12">
        <v>0.0545734951416523</v>
      </c>
      <c r="Y88" s="12">
        <v>0.012390493703575</v>
      </c>
      <c r="Z88" s="12">
        <v>0.0180395661875549</v>
      </c>
      <c r="AA88" s="12">
        <v>0.00203799486173356</v>
      </c>
      <c r="AB88" s="12">
        <v>0.0636100201907004</v>
      </c>
      <c r="AC88" s="38">
        <v>0.150651570085216</v>
      </c>
      <c r="AD88" s="17">
        <v>-1.606404289980594</v>
      </c>
      <c r="AE88" s="12">
        <v>1.1102170354405851</v>
      </c>
      <c r="AF88" s="12">
        <v>11.663043797498638</v>
      </c>
      <c r="AG88" s="34">
        <f t="shared" si="1"/>
        <v>328.7645463</v>
      </c>
    </row>
    <row r="89">
      <c r="A89" s="23" t="s">
        <v>130</v>
      </c>
      <c r="B89" s="24" t="s">
        <v>27</v>
      </c>
      <c r="C89" s="35">
        <v>71.6</v>
      </c>
      <c r="D89" s="26">
        <v>73.15</v>
      </c>
      <c r="E89" s="27">
        <v>0.819</v>
      </c>
      <c r="F89" s="28">
        <v>11135.61455216547</v>
      </c>
      <c r="G89" s="29" t="s">
        <v>28</v>
      </c>
      <c r="H89" s="24" t="s">
        <v>32</v>
      </c>
      <c r="I89" s="11">
        <v>18.3195996093749</v>
      </c>
      <c r="J89" s="12">
        <v>1.55737675312407</v>
      </c>
      <c r="K89" s="12">
        <v>0.144391019140332</v>
      </c>
      <c r="L89" s="12">
        <v>0.0102532953958435</v>
      </c>
      <c r="M89" s="12">
        <v>0.0170180621441883</v>
      </c>
      <c r="N89" s="12">
        <v>0.0493961184129718</v>
      </c>
      <c r="O89" s="12">
        <v>4.09818642119953</v>
      </c>
      <c r="P89" s="36">
        <v>5.87662166941693</v>
      </c>
      <c r="Q89" s="12">
        <v>0.919087105094547</v>
      </c>
      <c r="R89" s="12">
        <v>0.164912577360605</v>
      </c>
      <c r="S89" s="12">
        <v>0.0608458234635856</v>
      </c>
      <c r="T89" s="12">
        <v>0.0231055203637727</v>
      </c>
      <c r="U89" s="12">
        <v>0.0493961184129718</v>
      </c>
      <c r="V89" s="12">
        <v>3.73353856803203</v>
      </c>
      <c r="W89" s="37">
        <v>4.95088571272752</v>
      </c>
      <c r="X89" s="12">
        <v>1.55737675312407</v>
      </c>
      <c r="Y89" s="12">
        <v>1.70341463283867</v>
      </c>
      <c r="Z89" s="12">
        <v>0.214119940761096</v>
      </c>
      <c r="AA89" s="12">
        <v>0.0501424254687294</v>
      </c>
      <c r="AB89" s="12">
        <v>0.0493961184129718</v>
      </c>
      <c r="AC89" s="38">
        <v>3.57444987060554</v>
      </c>
      <c r="AD89" s="17">
        <v>-1.37643584212198</v>
      </c>
      <c r="AE89" s="12">
        <v>3.1282771275032903</v>
      </c>
      <c r="AF89" s="12">
        <v>1.3850762752168073</v>
      </c>
      <c r="AG89" s="34">
        <f t="shared" si="1"/>
        <v>116.6776424</v>
      </c>
    </row>
    <row r="90">
      <c r="A90" s="23" t="s">
        <v>131</v>
      </c>
      <c r="B90" s="24" t="s">
        <v>27</v>
      </c>
      <c r="C90" s="35">
        <v>60.6</v>
      </c>
      <c r="D90" s="26">
        <v>66.342</v>
      </c>
      <c r="E90" s="27">
        <v>0.599</v>
      </c>
      <c r="F90" s="28">
        <v>1201.4764406294476</v>
      </c>
      <c r="G90" s="29" t="s">
        <v>34</v>
      </c>
      <c r="H90" s="24" t="s">
        <v>29</v>
      </c>
      <c r="I90" s="11">
        <v>51.3926015625001</v>
      </c>
      <c r="J90" s="12">
        <v>0.200280858070097</v>
      </c>
      <c r="K90" s="12">
        <v>0.198417670241365</v>
      </c>
      <c r="L90" s="12">
        <v>0.207674831785353</v>
      </c>
      <c r="M90" s="12">
        <v>0.0221505535631341</v>
      </c>
      <c r="N90" s="12">
        <v>0.0427313305917708</v>
      </c>
      <c r="O90" s="12">
        <v>0.120487796705335</v>
      </c>
      <c r="P90" s="36">
        <v>0.791743040957056</v>
      </c>
      <c r="Q90" s="12">
        <v>0.267125721225488</v>
      </c>
      <c r="R90" s="12">
        <v>0.196572059026968</v>
      </c>
      <c r="S90" s="12">
        <v>0.227498934955525</v>
      </c>
      <c r="T90" s="12">
        <v>0.0246606657851746</v>
      </c>
      <c r="U90" s="12">
        <v>0.0427313305917708</v>
      </c>
      <c r="V90" s="12">
        <v>0.243520382453897</v>
      </c>
      <c r="W90" s="37">
        <v>1.00210909403882</v>
      </c>
      <c r="X90" s="12">
        <v>0.200280858070098</v>
      </c>
      <c r="Y90" s="12">
        <v>0.198417670241365</v>
      </c>
      <c r="Z90" s="12">
        <v>0.0116526018514349</v>
      </c>
      <c r="AA90" s="12">
        <v>0.0155969537112641</v>
      </c>
      <c r="AB90" s="12">
        <v>0.0427313305917708</v>
      </c>
      <c r="AC90" s="38">
        <v>0.468679414465933</v>
      </c>
      <c r="AD90" s="17">
        <v>-0.533429679572887</v>
      </c>
      <c r="AE90" s="12">
        <v>0.6331947736312485</v>
      </c>
      <c r="AF90" s="12">
        <v>2.13815470257156</v>
      </c>
      <c r="AG90" s="39" t="str">
        <f t="shared" si="1"/>
        <v/>
      </c>
    </row>
    <row r="91">
      <c r="A91" s="23" t="s">
        <v>132</v>
      </c>
      <c r="B91" s="24" t="s">
        <v>27</v>
      </c>
      <c r="C91" s="25"/>
      <c r="D91" s="26">
        <v>72.095</v>
      </c>
      <c r="E91" s="41" t="s">
        <v>103</v>
      </c>
      <c r="F91" s="43" t="s">
        <v>88</v>
      </c>
      <c r="G91" s="29" t="s">
        <v>45</v>
      </c>
      <c r="H91" s="24" t="s">
        <v>29</v>
      </c>
      <c r="I91" s="11">
        <v>25.5495996093751</v>
      </c>
      <c r="J91" s="12">
        <v>0.193831975575208</v>
      </c>
      <c r="K91" s="12">
        <v>0.00143971180095984</v>
      </c>
      <c r="L91" s="12">
        <v>0.13279125243567</v>
      </c>
      <c r="M91" s="12">
        <v>0.0168920859520263</v>
      </c>
      <c r="N91" s="12">
        <v>0.0477175243383304</v>
      </c>
      <c r="O91" s="12">
        <v>0.710350612566448</v>
      </c>
      <c r="P91" s="36">
        <v>1.10302316266864</v>
      </c>
      <c r="Q91" s="12">
        <v>0.243554203297658</v>
      </c>
      <c r="R91" s="12">
        <v>0.00200036636544229</v>
      </c>
      <c r="S91" s="12">
        <v>0.135266041885526</v>
      </c>
      <c r="T91" s="12">
        <v>0.0272985624051094</v>
      </c>
      <c r="U91" s="12">
        <v>0.0477175243383304</v>
      </c>
      <c r="V91" s="12">
        <v>0.710350612566448</v>
      </c>
      <c r="W91" s="37">
        <v>1.16618731085851</v>
      </c>
      <c r="X91" s="12">
        <v>0.193831975575208</v>
      </c>
      <c r="Y91" s="12">
        <v>0.00143971180095984</v>
      </c>
      <c r="Z91" s="12">
        <v>0.223357152986147</v>
      </c>
      <c r="AA91" s="12">
        <v>0.0914463555436791</v>
      </c>
      <c r="AB91" s="12">
        <v>0.0477175243383304</v>
      </c>
      <c r="AC91" s="38">
        <v>0.557792720244324</v>
      </c>
      <c r="AD91" s="17">
        <v>-0.6083945906141859</v>
      </c>
      <c r="AE91" s="12">
        <v>0.7368695830656571</v>
      </c>
      <c r="AF91" s="12">
        <v>2.0907180544552415</v>
      </c>
      <c r="AG91" s="39" t="str">
        <f t="shared" si="1"/>
        <v/>
      </c>
    </row>
    <row r="92">
      <c r="A92" s="23" t="s">
        <v>133</v>
      </c>
      <c r="B92" s="24" t="s">
        <v>27</v>
      </c>
      <c r="C92" s="35">
        <v>78.6</v>
      </c>
      <c r="D92" s="26">
        <v>82.6268</v>
      </c>
      <c r="E92" s="27">
        <v>0.914</v>
      </c>
      <c r="F92" s="28">
        <v>28335.97519991481</v>
      </c>
      <c r="G92" s="29" t="s">
        <v>45</v>
      </c>
      <c r="H92" s="24" t="s">
        <v>40</v>
      </c>
      <c r="I92" s="11">
        <v>51.17169921875</v>
      </c>
      <c r="J92" s="12">
        <v>0.115833907308939</v>
      </c>
      <c r="K92" s="12">
        <v>8.41145420109955E-4</v>
      </c>
      <c r="L92" s="12">
        <v>0.0599839537485426</v>
      </c>
      <c r="M92" s="12">
        <v>0.313474646364342</v>
      </c>
      <c r="N92" s="12">
        <v>0.0547925581804023</v>
      </c>
      <c r="O92" s="12">
        <v>4.34070986775819</v>
      </c>
      <c r="P92" s="36">
        <v>4.88563607878052</v>
      </c>
      <c r="Q92" s="12">
        <v>0.68825127818487</v>
      </c>
      <c r="R92" s="12">
        <v>0.184888534583546</v>
      </c>
      <c r="S92" s="12">
        <v>0.226605059766932</v>
      </c>
      <c r="T92" s="12">
        <v>0.429459812458174</v>
      </c>
      <c r="U92" s="12">
        <v>0.0547925581804023</v>
      </c>
      <c r="V92" s="12">
        <v>4.73282258856045</v>
      </c>
      <c r="W92" s="37">
        <v>6.31681983173438</v>
      </c>
      <c r="X92" s="12">
        <v>0.115833907308939</v>
      </c>
      <c r="Y92" s="12">
        <v>8.41145420109955E-4</v>
      </c>
      <c r="Z92" s="12">
        <v>0.0885727824549463</v>
      </c>
      <c r="AA92" s="12">
        <v>0.383698925082458</v>
      </c>
      <c r="AB92" s="12">
        <v>0.0547925581804023</v>
      </c>
      <c r="AC92" s="38">
        <v>0.643739318446856</v>
      </c>
      <c r="AD92" s="17">
        <v>-5.673080513287524</v>
      </c>
      <c r="AE92" s="12">
        <v>3.9913591516309377</v>
      </c>
      <c r="AF92" s="12">
        <v>9.812698480147079</v>
      </c>
      <c r="AG92" s="34">
        <f t="shared" si="1"/>
        <v>91.44754609</v>
      </c>
    </row>
    <row r="93">
      <c r="A93" s="23" t="s">
        <v>134</v>
      </c>
      <c r="B93" s="24" t="s">
        <v>27</v>
      </c>
      <c r="C93" s="35">
        <v>62.5</v>
      </c>
      <c r="D93" s="26">
        <v>75.398</v>
      </c>
      <c r="E93" s="27">
        <v>0.807</v>
      </c>
      <c r="F93" s="28">
        <v>33113.30261927857</v>
      </c>
      <c r="G93" s="29" t="s">
        <v>28</v>
      </c>
      <c r="H93" s="24" t="s">
        <v>40</v>
      </c>
      <c r="I93" s="11">
        <v>4.13731005859375</v>
      </c>
      <c r="J93" s="12">
        <v>0.0215119356978849</v>
      </c>
      <c r="K93" s="12">
        <v>0.00548629660799952</v>
      </c>
      <c r="L93" s="12">
        <v>0.00186391777764819</v>
      </c>
      <c r="M93" s="12">
        <v>0.00332985973999889</v>
      </c>
      <c r="N93" s="12">
        <v>0.18029306824404</v>
      </c>
      <c r="O93" s="12">
        <v>7.71846049506138</v>
      </c>
      <c r="P93" s="36">
        <v>7.93094557312895</v>
      </c>
      <c r="Q93" s="12">
        <v>0.670340624555402</v>
      </c>
      <c r="R93" s="12">
        <v>0.277363050333027</v>
      </c>
      <c r="S93" s="12">
        <v>0.20400116984755</v>
      </c>
      <c r="T93" s="12">
        <v>0.0858712381246156</v>
      </c>
      <c r="U93" s="12">
        <v>0.18029306824404</v>
      </c>
      <c r="V93" s="12">
        <v>6.48186084723686</v>
      </c>
      <c r="W93" s="37">
        <v>7.8997299983415</v>
      </c>
      <c r="X93" s="12">
        <v>0.0215119356978849</v>
      </c>
      <c r="Y93" s="12">
        <v>0.00548629660799952</v>
      </c>
      <c r="Z93" s="12">
        <v>0.00278531735211414</v>
      </c>
      <c r="AA93" s="12">
        <v>0.291276846843924</v>
      </c>
      <c r="AB93" s="12">
        <v>0.18029306824404</v>
      </c>
      <c r="AC93" s="38">
        <v>0.501353464745963</v>
      </c>
      <c r="AD93" s="17">
        <v>-7.3983765335955365</v>
      </c>
      <c r="AE93" s="12">
        <v>4.991540120535078</v>
      </c>
      <c r="AF93" s="12">
        <v>15.756807429952264</v>
      </c>
      <c r="AG93" s="34">
        <f t="shared" si="1"/>
        <v>73.12372358</v>
      </c>
    </row>
    <row r="94">
      <c r="A94" s="23" t="s">
        <v>135</v>
      </c>
      <c r="B94" s="24" t="s">
        <v>56</v>
      </c>
      <c r="C94" s="35">
        <v>74.0</v>
      </c>
      <c r="D94" s="26">
        <v>71.4</v>
      </c>
      <c r="E94" s="27">
        <v>0.696</v>
      </c>
      <c r="F94" s="28">
        <v>1094.1160234110562</v>
      </c>
      <c r="G94" s="29" t="s">
        <v>28</v>
      </c>
      <c r="H94" s="24" t="s">
        <v>29</v>
      </c>
      <c r="I94" s="11">
        <v>6.3040297851562395</v>
      </c>
      <c r="J94" s="12">
        <v>0.424917988006255</v>
      </c>
      <c r="K94" s="12">
        <v>0.210791164976903</v>
      </c>
      <c r="L94" s="12">
        <v>0.0032156275348025</v>
      </c>
      <c r="M94" s="12">
        <v>1.81900380265432E-6</v>
      </c>
      <c r="N94" s="12">
        <v>0.0837496266562634</v>
      </c>
      <c r="O94" s="12">
        <v>0.599923418717489</v>
      </c>
      <c r="P94" s="36">
        <v>1.32259964489552</v>
      </c>
      <c r="Q94" s="12">
        <v>0.446365358581639</v>
      </c>
      <c r="R94" s="12">
        <v>0.175179102941503</v>
      </c>
      <c r="S94" s="12">
        <v>0.0456600498367077</v>
      </c>
      <c r="T94" s="12">
        <v>0.00451444996295056</v>
      </c>
      <c r="U94" s="12">
        <v>0.0837496266562634</v>
      </c>
      <c r="V94" s="12">
        <v>0.786083140711846</v>
      </c>
      <c r="W94" s="37">
        <v>1.54155172869091</v>
      </c>
      <c r="X94" s="12">
        <v>0.424917988006255</v>
      </c>
      <c r="Y94" s="12">
        <v>0.543429387167236</v>
      </c>
      <c r="Z94" s="12">
        <v>0.102162781662331</v>
      </c>
      <c r="AA94" s="12">
        <v>0.0471164292079071</v>
      </c>
      <c r="AB94" s="12">
        <v>0.0837496266562634</v>
      </c>
      <c r="AC94" s="38">
        <v>1.20137621269999</v>
      </c>
      <c r="AD94" s="17">
        <v>-0.3401755159909199</v>
      </c>
      <c r="AE94" s="12">
        <v>0.9740481387663048</v>
      </c>
      <c r="AF94" s="12">
        <v>1.2831548622278817</v>
      </c>
      <c r="AG94" s="39" t="str">
        <f t="shared" si="1"/>
        <v/>
      </c>
    </row>
    <row r="95">
      <c r="A95" s="23" t="s">
        <v>136</v>
      </c>
      <c r="B95" s="24" t="s">
        <v>27</v>
      </c>
      <c r="C95" s="35">
        <v>63.0</v>
      </c>
      <c r="D95" s="26">
        <v>67.61</v>
      </c>
      <c r="E95" s="27">
        <v>0.609</v>
      </c>
      <c r="F95" s="28">
        <v>1785.5813301256514</v>
      </c>
      <c r="G95" s="29" t="s">
        <v>45</v>
      </c>
      <c r="H95" s="24" t="s">
        <v>36</v>
      </c>
      <c r="I95" s="11">
        <v>7.061509765625019</v>
      </c>
      <c r="J95" s="12">
        <v>0.744426558258783</v>
      </c>
      <c r="K95" s="12">
        <v>0.0828405714786625</v>
      </c>
      <c r="L95" s="12">
        <v>0.448903828681297</v>
      </c>
      <c r="M95" s="12">
        <v>0.0141008293316803</v>
      </c>
      <c r="N95" s="12">
        <v>0.152221588888012</v>
      </c>
      <c r="O95" s="12">
        <v>0.861961635848723</v>
      </c>
      <c r="P95" s="36">
        <v>2.30445501248716</v>
      </c>
      <c r="Q95" s="12">
        <v>0.743437508535126</v>
      </c>
      <c r="R95" s="12">
        <v>0.242819774473673</v>
      </c>
      <c r="S95" s="12">
        <v>0.362939349387282</v>
      </c>
      <c r="T95" s="12">
        <v>0.0164409420245198</v>
      </c>
      <c r="U95" s="12">
        <v>0.152221588888012</v>
      </c>
      <c r="V95" s="12">
        <v>0.322027671003662</v>
      </c>
      <c r="W95" s="37">
        <v>1.83988683431227</v>
      </c>
      <c r="X95" s="12">
        <v>0.744426558258783</v>
      </c>
      <c r="Y95" s="12">
        <v>0.11699467057589</v>
      </c>
      <c r="Z95" s="12">
        <v>0.652271902502841</v>
      </c>
      <c r="AA95" s="12">
        <v>0.0309699136384695</v>
      </c>
      <c r="AB95" s="12">
        <v>0.152221588888012</v>
      </c>
      <c r="AC95" s="38">
        <v>1.696884633864</v>
      </c>
      <c r="AD95" s="17">
        <v>-0.14300220044827006</v>
      </c>
      <c r="AE95" s="12">
        <v>1.1625547901816984</v>
      </c>
      <c r="AF95" s="12">
        <v>1.084273378162803</v>
      </c>
      <c r="AG95" s="34">
        <f t="shared" si="1"/>
        <v>313.9636971</v>
      </c>
    </row>
    <row r="96">
      <c r="A96" s="23" t="s">
        <v>137</v>
      </c>
      <c r="B96" s="24" t="s">
        <v>27</v>
      </c>
      <c r="C96" s="35">
        <v>79.2</v>
      </c>
      <c r="D96" s="26">
        <v>74.7829</v>
      </c>
      <c r="E96" s="27">
        <v>0.863</v>
      </c>
      <c r="F96" s="28">
        <v>16252.398615921245</v>
      </c>
      <c r="G96" s="29" t="s">
        <v>47</v>
      </c>
      <c r="H96" s="24" t="s">
        <v>40</v>
      </c>
      <c r="I96" s="11">
        <v>1.92845996093749</v>
      </c>
      <c r="J96" s="12">
        <v>1.31554579552962</v>
      </c>
      <c r="K96" s="12">
        <v>0.15750509750384</v>
      </c>
      <c r="L96" s="12">
        <v>4.29584512797944</v>
      </c>
      <c r="M96" s="12">
        <v>0.284350258608182</v>
      </c>
      <c r="N96" s="12">
        <v>0.0921169922471509</v>
      </c>
      <c r="O96" s="12">
        <v>1.40537226363663</v>
      </c>
      <c r="P96" s="36">
        <v>7.55073553550487</v>
      </c>
      <c r="Q96" s="12">
        <v>0.792463096716113</v>
      </c>
      <c r="R96" s="12">
        <v>0.146518151836528</v>
      </c>
      <c r="S96" s="12">
        <v>3.19164857956522</v>
      </c>
      <c r="T96" s="12">
        <v>0.25642785040817</v>
      </c>
      <c r="U96" s="12">
        <v>0.0921169922471509</v>
      </c>
      <c r="V96" s="12">
        <v>1.92599917232361</v>
      </c>
      <c r="W96" s="37">
        <v>6.40517384309679</v>
      </c>
      <c r="X96" s="12">
        <v>1.31554579552962</v>
      </c>
      <c r="Y96" s="12">
        <v>0.24005946902462</v>
      </c>
      <c r="Z96" s="12">
        <v>4.44519646149351</v>
      </c>
      <c r="AA96" s="12">
        <v>2.06275249444696</v>
      </c>
      <c r="AB96" s="12">
        <v>0.0921169922471509</v>
      </c>
      <c r="AC96" s="38">
        <v>8.15567121274186</v>
      </c>
      <c r="AD96" s="21">
        <v>1.7504973696450694</v>
      </c>
      <c r="AE96" s="12">
        <v>4.047186704296443</v>
      </c>
      <c r="AF96" s="12">
        <v>0.7853644017784566</v>
      </c>
      <c r="AG96" s="34">
        <f t="shared" si="1"/>
        <v>90.18610375</v>
      </c>
    </row>
    <row r="97">
      <c r="A97" s="23" t="s">
        <v>138</v>
      </c>
      <c r="B97" s="24" t="s">
        <v>27</v>
      </c>
      <c r="C97" s="35">
        <v>66.8</v>
      </c>
      <c r="D97" s="26">
        <v>78.875</v>
      </c>
      <c r="E97" s="27">
        <v>0.747</v>
      </c>
      <c r="F97" s="28">
        <v>6204.862959130629</v>
      </c>
      <c r="G97" s="29" t="s">
        <v>28</v>
      </c>
      <c r="H97" s="24" t="s">
        <v>32</v>
      </c>
      <c r="I97" s="11">
        <v>6.859410156249989</v>
      </c>
      <c r="J97" s="12">
        <v>0.125671967836407</v>
      </c>
      <c r="K97" s="12">
        <v>0.0304359138448088</v>
      </c>
      <c r="L97" s="12">
        <v>0.00174653506824409</v>
      </c>
      <c r="M97" s="12">
        <v>0.00300245998466896</v>
      </c>
      <c r="N97" s="12">
        <v>0.0539079149351823</v>
      </c>
      <c r="O97" s="12">
        <v>1.36652591139627</v>
      </c>
      <c r="P97" s="36">
        <v>1.58129070306558</v>
      </c>
      <c r="Q97" s="12">
        <v>0.581943833647208</v>
      </c>
      <c r="R97" s="12">
        <v>0.330453241604065</v>
      </c>
      <c r="S97" s="12">
        <v>0.146353124564089</v>
      </c>
      <c r="T97" s="12">
        <v>0.0422873440338993</v>
      </c>
      <c r="U97" s="12">
        <v>0.0539079149351823</v>
      </c>
      <c r="V97" s="12">
        <v>1.80877174402287</v>
      </c>
      <c r="W97" s="37">
        <v>2.96371720280731</v>
      </c>
      <c r="X97" s="12">
        <v>0.125671967836407</v>
      </c>
      <c r="Y97" s="12">
        <v>0.0304359138448088</v>
      </c>
      <c r="Z97" s="12">
        <v>0.0382042536976029</v>
      </c>
      <c r="AA97" s="12">
        <v>0.00493782788577859</v>
      </c>
      <c r="AB97" s="12">
        <v>0.0539079149351823</v>
      </c>
      <c r="AC97" s="38">
        <v>0.253157878199779</v>
      </c>
      <c r="AD97" s="17">
        <v>-2.710559324607531</v>
      </c>
      <c r="AE97" s="12">
        <v>1.8726606259756335</v>
      </c>
      <c r="AF97" s="12">
        <v>11.706991794537396</v>
      </c>
      <c r="AG97" s="34">
        <f t="shared" si="1"/>
        <v>194.9098491</v>
      </c>
    </row>
    <row r="98">
      <c r="A98" s="23" t="s">
        <v>139</v>
      </c>
      <c r="B98" s="24" t="s">
        <v>27</v>
      </c>
      <c r="C98" s="35">
        <v>54.6</v>
      </c>
      <c r="D98" s="26">
        <v>53.705</v>
      </c>
      <c r="E98" s="27">
        <v>0.522</v>
      </c>
      <c r="F98" s="28">
        <v>1374.5143751765984</v>
      </c>
      <c r="G98" s="29" t="s">
        <v>34</v>
      </c>
      <c r="H98" s="24" t="s">
        <v>36</v>
      </c>
      <c r="I98" s="11">
        <v>2.10833007812499</v>
      </c>
      <c r="J98" s="12">
        <v>0.0689161298673667</v>
      </c>
      <c r="K98" s="12">
        <v>0.426778276014903</v>
      </c>
      <c r="L98" s="12">
        <v>0.387397546793088</v>
      </c>
      <c r="M98" s="12">
        <v>3.5649392808175E-5</v>
      </c>
      <c r="N98" s="12">
        <v>0.00808297285475328</v>
      </c>
      <c r="O98" s="12">
        <v>0.409795660438117</v>
      </c>
      <c r="P98" s="36">
        <v>1.30100623536104</v>
      </c>
      <c r="Q98" s="12">
        <v>0.253515156501637</v>
      </c>
      <c r="R98" s="12">
        <v>0.254983707674194</v>
      </c>
      <c r="S98" s="12">
        <v>0.423464136432229</v>
      </c>
      <c r="T98" s="12">
        <v>0.00805345000426805</v>
      </c>
      <c r="U98" s="12">
        <v>0.00808297285475328</v>
      </c>
      <c r="V98" s="12">
        <v>0.596044203040207</v>
      </c>
      <c r="W98" s="37">
        <v>1.54414362650729</v>
      </c>
      <c r="X98" s="12">
        <v>0.0689161298673668</v>
      </c>
      <c r="Y98" s="12">
        <v>0.718018322635384</v>
      </c>
      <c r="Z98" s="12">
        <v>0.00181504599648323</v>
      </c>
      <c r="AA98" s="12">
        <v>0.0</v>
      </c>
      <c r="AB98" s="12">
        <v>0.00808297285475328</v>
      </c>
      <c r="AC98" s="38">
        <v>0.796832471353987</v>
      </c>
      <c r="AD98" s="17">
        <v>-0.747311155153303</v>
      </c>
      <c r="AE98" s="12">
        <v>0.9756858608076284</v>
      </c>
      <c r="AF98" s="12">
        <v>1.9378522864203354</v>
      </c>
      <c r="AG98" s="39" t="str">
        <f t="shared" si="1"/>
        <v/>
      </c>
    </row>
    <row r="99">
      <c r="A99" s="23" t="s">
        <v>140</v>
      </c>
      <c r="B99" s="24" t="s">
        <v>56</v>
      </c>
      <c r="C99" s="35">
        <v>48.6</v>
      </c>
      <c r="D99" s="26">
        <v>63.73</v>
      </c>
      <c r="E99" s="27">
        <v>0.48</v>
      </c>
      <c r="F99" s="28">
        <v>541.2712433800713</v>
      </c>
      <c r="G99" s="29" t="s">
        <v>34</v>
      </c>
      <c r="H99" s="24" t="s">
        <v>29</v>
      </c>
      <c r="I99" s="11">
        <v>4.818970214843739</v>
      </c>
      <c r="J99" s="12">
        <v>0.139432726634208</v>
      </c>
      <c r="K99" s="12">
        <v>0.0215318301205742</v>
      </c>
      <c r="L99" s="12">
        <v>0.784126761493847</v>
      </c>
      <c r="M99" s="12">
        <v>0.0432412327424055</v>
      </c>
      <c r="N99" s="12">
        <v>0.0347095857722093</v>
      </c>
      <c r="O99" s="12">
        <v>0.0711890948706548</v>
      </c>
      <c r="P99" s="36">
        <v>1.0942312316339</v>
      </c>
      <c r="Q99" s="12">
        <v>0.288645224105151</v>
      </c>
      <c r="R99" s="12">
        <v>0.0335432175111294</v>
      </c>
      <c r="S99" s="12">
        <v>0.761355517405608</v>
      </c>
      <c r="T99" s="12">
        <v>0.0517513989066456</v>
      </c>
      <c r="U99" s="12">
        <v>0.0347095857722093</v>
      </c>
      <c r="V99" s="12">
        <v>0.072956738479446</v>
      </c>
      <c r="W99" s="37">
        <v>1.24296168218019</v>
      </c>
      <c r="X99" s="12">
        <v>0.139432726634208</v>
      </c>
      <c r="Y99" s="12">
        <v>0.33355456631482</v>
      </c>
      <c r="Z99" s="12">
        <v>2.2018896763846</v>
      </c>
      <c r="AA99" s="12">
        <v>0.279127380612649</v>
      </c>
      <c r="AB99" s="12">
        <v>0.0347095857722093</v>
      </c>
      <c r="AC99" s="38">
        <v>2.98871393571848</v>
      </c>
      <c r="AD99" s="21">
        <v>1.74575225353829</v>
      </c>
      <c r="AE99" s="12">
        <v>0.7853803998608487</v>
      </c>
      <c r="AF99" s="12">
        <v>0.41588512949513345</v>
      </c>
      <c r="AG99" s="39" t="str">
        <f t="shared" si="1"/>
        <v/>
      </c>
    </row>
    <row r="100">
      <c r="A100" s="23" t="s">
        <v>141</v>
      </c>
      <c r="B100" s="24" t="s">
        <v>27</v>
      </c>
      <c r="C100" s="25"/>
      <c r="D100" s="26">
        <v>72.724</v>
      </c>
      <c r="E100" s="27">
        <v>0.721</v>
      </c>
      <c r="F100" s="28">
        <v>8038.589086418168</v>
      </c>
      <c r="G100" s="29" t="s">
        <v>34</v>
      </c>
      <c r="H100" s="24" t="s">
        <v>32</v>
      </c>
      <c r="I100" s="11">
        <v>6.67856005859375</v>
      </c>
      <c r="J100" s="12">
        <v>0.121274473835355</v>
      </c>
      <c r="K100" s="12">
        <v>0.209920520367898</v>
      </c>
      <c r="L100" s="12">
        <v>0.0708688440560311</v>
      </c>
      <c r="M100" s="12">
        <v>0.0434475713463991</v>
      </c>
      <c r="N100" s="12">
        <v>0.0152641974663204</v>
      </c>
      <c r="O100" s="12">
        <v>2.45947117887965</v>
      </c>
      <c r="P100" s="36">
        <v>2.92024678595166</v>
      </c>
      <c r="Q100" s="12">
        <v>0.726751266613597</v>
      </c>
      <c r="R100" s="12">
        <v>0.237818950067973</v>
      </c>
      <c r="S100" s="12">
        <v>0.0961283038667272</v>
      </c>
      <c r="T100" s="12">
        <v>0.0926375472737127</v>
      </c>
      <c r="U100" s="12">
        <v>0.0152641974663204</v>
      </c>
      <c r="V100" s="12">
        <v>2.11253434201362</v>
      </c>
      <c r="W100" s="37">
        <v>3.28113460730195</v>
      </c>
      <c r="X100" s="12">
        <v>0.121274473835355</v>
      </c>
      <c r="Y100" s="12">
        <v>0.209920520367898</v>
      </c>
      <c r="Z100" s="12">
        <v>0.0180095289659331</v>
      </c>
      <c r="AA100" s="12">
        <v>0.234782150183674</v>
      </c>
      <c r="AB100" s="12">
        <v>0.0152641974663204</v>
      </c>
      <c r="AC100" s="38">
        <v>0.59925087081918</v>
      </c>
      <c r="AD100" s="17">
        <v>-2.68188373648277</v>
      </c>
      <c r="AE100" s="12">
        <v>2.0732246591544565</v>
      </c>
      <c r="AF100" s="12">
        <v>5.475393974507899</v>
      </c>
      <c r="AG100" s="34">
        <f t="shared" si="1"/>
        <v>176.054244</v>
      </c>
    </row>
    <row r="101">
      <c r="A101" s="23" t="s">
        <v>142</v>
      </c>
      <c r="B101" s="24" t="s">
        <v>27</v>
      </c>
      <c r="C101" s="35">
        <v>76.7</v>
      </c>
      <c r="D101" s="26">
        <v>75.6805</v>
      </c>
      <c r="E101" s="27">
        <v>0.876</v>
      </c>
      <c r="F101" s="28">
        <v>17744.05082952606</v>
      </c>
      <c r="G101" s="29" t="s">
        <v>47</v>
      </c>
      <c r="H101" s="24" t="s">
        <v>32</v>
      </c>
      <c r="I101" s="11">
        <v>2.80126000976563</v>
      </c>
      <c r="J101" s="12">
        <v>1.85719184169974</v>
      </c>
      <c r="K101" s="12">
        <v>0.145052481367677</v>
      </c>
      <c r="L101" s="12">
        <v>1.52280527741787</v>
      </c>
      <c r="M101" s="12">
        <v>0.134357921362977</v>
      </c>
      <c r="N101" s="12">
        <v>0.123577088845067</v>
      </c>
      <c r="O101" s="12">
        <v>1.63226342313429</v>
      </c>
      <c r="P101" s="36">
        <v>5.41524803382763</v>
      </c>
      <c r="Q101" s="12">
        <v>0.846849657365372</v>
      </c>
      <c r="R101" s="12">
        <v>0.339866907538056</v>
      </c>
      <c r="S101" s="12">
        <v>1.35188958064444</v>
      </c>
      <c r="T101" s="12">
        <v>0.208655247167406</v>
      </c>
      <c r="U101" s="12">
        <v>0.123577088845067</v>
      </c>
      <c r="V101" s="12">
        <v>3.12994611790574</v>
      </c>
      <c r="W101" s="37">
        <v>6.00078459946608</v>
      </c>
      <c r="X101" s="12">
        <v>1.85719184169974</v>
      </c>
      <c r="Y101" s="12">
        <v>0.146038294351858</v>
      </c>
      <c r="Z101" s="12">
        <v>2.30220391813019</v>
      </c>
      <c r="AA101" s="12">
        <v>0.320908091540096</v>
      </c>
      <c r="AB101" s="12">
        <v>0.123577088845067</v>
      </c>
      <c r="AC101" s="38">
        <v>4.74991923456695</v>
      </c>
      <c r="AD101" s="17">
        <v>-1.2508653648991297</v>
      </c>
      <c r="AE101" s="12">
        <v>3.791668460721118</v>
      </c>
      <c r="AF101" s="12">
        <v>1.2633445545339195</v>
      </c>
      <c r="AG101" s="34">
        <f t="shared" si="1"/>
        <v>96.26369072</v>
      </c>
    </row>
    <row r="102">
      <c r="A102" s="23" t="s">
        <v>143</v>
      </c>
      <c r="B102" s="24" t="s">
        <v>27</v>
      </c>
      <c r="C102" s="35">
        <v>74.2</v>
      </c>
      <c r="D102" s="26">
        <v>82.2951</v>
      </c>
      <c r="E102" s="27">
        <v>0.913</v>
      </c>
      <c r="F102" s="28">
        <v>111380.64947802795</v>
      </c>
      <c r="G102" s="29" t="s">
        <v>47</v>
      </c>
      <c r="H102" s="24" t="s">
        <v>40</v>
      </c>
      <c r="I102" s="11">
        <v>0.604244995117186</v>
      </c>
      <c r="J102" s="12">
        <v>0.296401959170984</v>
      </c>
      <c r="K102" s="12">
        <v>0.0724501544355179</v>
      </c>
      <c r="L102" s="12">
        <v>0.470086104032475</v>
      </c>
      <c r="M102" s="12">
        <v>0.0</v>
      </c>
      <c r="N102" s="12">
        <v>0.084863256857732</v>
      </c>
      <c r="O102" s="12">
        <v>5.34012091446639</v>
      </c>
      <c r="P102" s="36">
        <v>6.2639223889631</v>
      </c>
      <c r="Q102" s="12">
        <v>0.842740338253691</v>
      </c>
      <c r="R102" s="12">
        <v>0.600762026457099</v>
      </c>
      <c r="S102" s="12">
        <v>1.58892628827283</v>
      </c>
      <c r="T102" s="12">
        <v>0.137490716169904</v>
      </c>
      <c r="U102" s="12">
        <v>0.084863256857732</v>
      </c>
      <c r="V102" s="12">
        <v>9.69557638641782</v>
      </c>
      <c r="W102" s="37">
        <v>12.9503590124291</v>
      </c>
      <c r="X102" s="12">
        <v>0.296401959170984</v>
      </c>
      <c r="Y102" s="12">
        <v>0.0724501544355179</v>
      </c>
      <c r="Z102" s="12">
        <v>0.753402715065122</v>
      </c>
      <c r="AA102" s="12">
        <v>6.03216546725945E-4</v>
      </c>
      <c r="AB102" s="12">
        <v>0.084863256857732</v>
      </c>
      <c r="AC102" s="38">
        <v>1.20772130207608</v>
      </c>
      <c r="AD102" s="17">
        <v>-11.74263771035302</v>
      </c>
      <c r="AE102" s="12">
        <v>8.182841261593007</v>
      </c>
      <c r="AF102" s="12">
        <v>10.722969769736906</v>
      </c>
      <c r="AG102" s="34">
        <f t="shared" si="1"/>
        <v>44.6055335</v>
      </c>
    </row>
    <row r="103">
      <c r="A103" s="23" t="s">
        <v>144</v>
      </c>
      <c r="B103" s="24" t="s">
        <v>27</v>
      </c>
      <c r="C103" s="35">
        <v>49.0</v>
      </c>
      <c r="D103" s="26">
        <v>66.681</v>
      </c>
      <c r="E103" s="27">
        <v>0.527</v>
      </c>
      <c r="F103" s="28">
        <v>490.0979585607875</v>
      </c>
      <c r="G103" s="29" t="s">
        <v>34</v>
      </c>
      <c r="H103" s="24" t="s">
        <v>29</v>
      </c>
      <c r="I103" s="11">
        <v>26.26230078125</v>
      </c>
      <c r="J103" s="12">
        <v>0.208615514614626</v>
      </c>
      <c r="K103" s="12">
        <v>0.315627085722102</v>
      </c>
      <c r="L103" s="12">
        <v>0.215441627435248</v>
      </c>
      <c r="M103" s="12">
        <v>0.0202342461660248</v>
      </c>
      <c r="N103" s="12">
        <v>0.0616783350220368</v>
      </c>
      <c r="O103" s="12">
        <v>0.0424881278139562</v>
      </c>
      <c r="P103" s="36">
        <v>0.864084936773995</v>
      </c>
      <c r="Q103" s="12">
        <v>0.244842676327043</v>
      </c>
      <c r="R103" s="12">
        <v>0.313680126897819</v>
      </c>
      <c r="S103" s="12">
        <v>0.218091230119559</v>
      </c>
      <c r="T103" s="12">
        <v>0.0184894695187581</v>
      </c>
      <c r="U103" s="12">
        <v>0.0616783350220368</v>
      </c>
      <c r="V103" s="12">
        <v>0.0942712322456213</v>
      </c>
      <c r="W103" s="37">
        <v>0.951053070130837</v>
      </c>
      <c r="X103" s="12">
        <v>0.208615514614626</v>
      </c>
      <c r="Y103" s="12">
        <v>1.10399207105648</v>
      </c>
      <c r="Z103" s="12">
        <v>0.655478043058958</v>
      </c>
      <c r="AA103" s="12">
        <v>0.18054509822097</v>
      </c>
      <c r="AB103" s="12">
        <v>0.0616783350220368</v>
      </c>
      <c r="AC103" s="38">
        <v>2.21030906197307</v>
      </c>
      <c r="AD103" s="21">
        <v>1.2592559918422328</v>
      </c>
      <c r="AE103" s="12">
        <v>0.6009344062787948</v>
      </c>
      <c r="AF103" s="12">
        <v>0.430280582246658</v>
      </c>
      <c r="AG103" s="39" t="str">
        <f t="shared" si="1"/>
        <v/>
      </c>
    </row>
    <row r="104">
      <c r="A104" s="23" t="s">
        <v>145</v>
      </c>
      <c r="B104" s="24" t="s">
        <v>27</v>
      </c>
      <c r="C104" s="35">
        <v>51.4</v>
      </c>
      <c r="D104" s="26">
        <v>63.798</v>
      </c>
      <c r="E104" s="27">
        <v>0.478</v>
      </c>
      <c r="F104" s="28">
        <v>515.1098153814952</v>
      </c>
      <c r="G104" s="29" t="s">
        <v>34</v>
      </c>
      <c r="H104" s="24" t="s">
        <v>29</v>
      </c>
      <c r="I104" s="11">
        <v>18.14319921875</v>
      </c>
      <c r="J104" s="12">
        <v>0.480070806660045</v>
      </c>
      <c r="K104" s="12">
        <v>0.0656846860196025</v>
      </c>
      <c r="L104" s="12">
        <v>0.177599713309605</v>
      </c>
      <c r="M104" s="12">
        <v>0.0197080201210785</v>
      </c>
      <c r="N104" s="12">
        <v>0.0666123535800066</v>
      </c>
      <c r="O104" s="12">
        <v>0.0293919537549049</v>
      </c>
      <c r="P104" s="36">
        <v>0.839067533445243</v>
      </c>
      <c r="Q104" s="12">
        <v>0.464461294517614</v>
      </c>
      <c r="R104" s="12">
        <v>0.0663851146780955</v>
      </c>
      <c r="S104" s="12">
        <v>0.178200549870146</v>
      </c>
      <c r="T104" s="12">
        <v>0.0210526402141841</v>
      </c>
      <c r="U104" s="12">
        <v>0.0666123535800066</v>
      </c>
      <c r="V104" s="12">
        <v>0.0836611446603096</v>
      </c>
      <c r="W104" s="37">
        <v>0.880373097520357</v>
      </c>
      <c r="X104" s="12">
        <v>0.480070806660045</v>
      </c>
      <c r="Y104" s="12">
        <v>0.0656846860196025</v>
      </c>
      <c r="Z104" s="12">
        <v>0.0141720854551978</v>
      </c>
      <c r="AA104" s="12">
        <v>0.0486169606223313</v>
      </c>
      <c r="AB104" s="12">
        <v>0.0666123535800066</v>
      </c>
      <c r="AC104" s="38">
        <v>0.675156892337183</v>
      </c>
      <c r="AD104" s="17">
        <v>-0.20521620518317396</v>
      </c>
      <c r="AE104" s="12">
        <v>0.5562744091551463</v>
      </c>
      <c r="AF104" s="12">
        <v>1.3039533588597154</v>
      </c>
      <c r="AG104" s="39" t="str">
        <f t="shared" si="1"/>
        <v/>
      </c>
    </row>
    <row r="105">
      <c r="A105" s="23" t="s">
        <v>146</v>
      </c>
      <c r="B105" s="24" t="s">
        <v>27</v>
      </c>
      <c r="C105" s="35">
        <v>70.9</v>
      </c>
      <c r="D105" s="26">
        <v>75.997</v>
      </c>
      <c r="E105" s="27">
        <v>0.805</v>
      </c>
      <c r="F105" s="28">
        <v>12116.214158842971</v>
      </c>
      <c r="G105" s="29" t="s">
        <v>45</v>
      </c>
      <c r="H105" s="24" t="s">
        <v>32</v>
      </c>
      <c r="I105" s="11">
        <v>31.5279999999999</v>
      </c>
      <c r="J105" s="12">
        <v>0.721965710043476</v>
      </c>
      <c r="K105" s="12">
        <v>0.00196731355002335</v>
      </c>
      <c r="L105" s="12">
        <v>0.356231789994165</v>
      </c>
      <c r="M105" s="12">
        <v>0.411171946629692</v>
      </c>
      <c r="N105" s="12">
        <v>0.0701834551716671</v>
      </c>
      <c r="O105" s="12">
        <v>2.64920317782693</v>
      </c>
      <c r="P105" s="36">
        <v>4.21072339321595</v>
      </c>
      <c r="Q105" s="12">
        <v>0.708311652782241</v>
      </c>
      <c r="R105" s="12">
        <v>0.133881272267589</v>
      </c>
      <c r="S105" s="12">
        <v>0.360094744664072</v>
      </c>
      <c r="T105" s="12">
        <v>0.432480180161631</v>
      </c>
      <c r="U105" s="12">
        <v>0.0701834551716671</v>
      </c>
      <c r="V105" s="12">
        <v>2.5545031330091</v>
      </c>
      <c r="W105" s="37">
        <v>4.2594544380563</v>
      </c>
      <c r="X105" s="12">
        <v>0.721965710043476</v>
      </c>
      <c r="Y105" s="12">
        <v>0.0169637669750814</v>
      </c>
      <c r="Z105" s="12">
        <v>0.572719425809462</v>
      </c>
      <c r="AA105" s="12">
        <v>0.779301378388529</v>
      </c>
      <c r="AB105" s="12">
        <v>0.0701834551716671</v>
      </c>
      <c r="AC105" s="38">
        <v>2.16113373638822</v>
      </c>
      <c r="AD105" s="17">
        <v>-2.0983207016680803</v>
      </c>
      <c r="AE105" s="12">
        <v>2.691387898524745</v>
      </c>
      <c r="AF105" s="12">
        <v>1.9709351468340337</v>
      </c>
      <c r="AG105" s="34">
        <f t="shared" si="1"/>
        <v>135.6177607</v>
      </c>
    </row>
    <row r="106">
      <c r="A106" s="23" t="s">
        <v>147</v>
      </c>
      <c r="B106" s="24" t="s">
        <v>27</v>
      </c>
      <c r="C106" s="35">
        <v>52.2</v>
      </c>
      <c r="D106" s="26">
        <v>58.893</v>
      </c>
      <c r="E106" s="27">
        <v>0.431</v>
      </c>
      <c r="F106" s="28">
        <v>778.7259789376953</v>
      </c>
      <c r="G106" s="29" t="s">
        <v>34</v>
      </c>
      <c r="H106" s="24" t="s">
        <v>29</v>
      </c>
      <c r="I106" s="11">
        <v>19.07769921875</v>
      </c>
      <c r="J106" s="12">
        <v>0.67191335473751</v>
      </c>
      <c r="K106" s="12">
        <v>0.553318598541872</v>
      </c>
      <c r="L106" s="12">
        <v>0.144038632064251</v>
      </c>
      <c r="M106" s="12">
        <v>0.0116215388033784</v>
      </c>
      <c r="N106" s="12">
        <v>0.0974597287697206</v>
      </c>
      <c r="O106" s="12">
        <v>0.0933605760409607</v>
      </c>
      <c r="P106" s="36">
        <v>1.57171242895769</v>
      </c>
      <c r="Q106" s="12">
        <v>0.68803259252119</v>
      </c>
      <c r="R106" s="12">
        <v>0.476009490762902</v>
      </c>
      <c r="S106" s="12">
        <v>0.143437373717179</v>
      </c>
      <c r="T106" s="12">
        <v>0.0327100620779628</v>
      </c>
      <c r="U106" s="12">
        <v>0.0974597287697206</v>
      </c>
      <c r="V106" s="12">
        <v>0.191385348693027</v>
      </c>
      <c r="W106" s="37">
        <v>1.62903459654198</v>
      </c>
      <c r="X106" s="12">
        <v>0.67191335473751</v>
      </c>
      <c r="Y106" s="12">
        <v>0.553318598541872</v>
      </c>
      <c r="Z106" s="12">
        <v>0.514359819173664</v>
      </c>
      <c r="AA106" s="12">
        <v>0.0382111674108789</v>
      </c>
      <c r="AB106" s="12">
        <v>0.0974597287697206</v>
      </c>
      <c r="AC106" s="38">
        <v>1.87526266863365</v>
      </c>
      <c r="AD106" s="21">
        <v>0.24622807209167008</v>
      </c>
      <c r="AE106" s="12">
        <v>1.0293252488485178</v>
      </c>
      <c r="AF106" s="12">
        <v>0.8686967558144394</v>
      </c>
      <c r="AG106" s="34">
        <f t="shared" si="1"/>
        <v>354.6012307</v>
      </c>
    </row>
    <row r="107">
      <c r="A107" s="23" t="s">
        <v>148</v>
      </c>
      <c r="B107" s="24" t="s">
        <v>38</v>
      </c>
      <c r="C107" s="35">
        <v>75.7</v>
      </c>
      <c r="D107" s="26">
        <v>82.4488</v>
      </c>
      <c r="E107" s="27">
        <v>0.894</v>
      </c>
      <c r="F107" s="28">
        <v>31603.55982841433</v>
      </c>
      <c r="G107" s="29" t="s">
        <v>47</v>
      </c>
      <c r="H107" s="24" t="s">
        <v>40</v>
      </c>
      <c r="I107" s="11">
        <v>0.439247985839844</v>
      </c>
      <c r="J107" s="30"/>
      <c r="K107" s="30"/>
      <c r="L107" s="30"/>
      <c r="M107" s="30"/>
      <c r="N107" s="30"/>
      <c r="O107" s="30"/>
      <c r="P107" s="36">
        <v>1.356756897115</v>
      </c>
      <c r="Q107" s="30"/>
      <c r="R107" s="30"/>
      <c r="S107" s="30"/>
      <c r="T107" s="30"/>
      <c r="U107" s="30"/>
      <c r="V107" s="30"/>
      <c r="W107" s="37">
        <v>5.45122858025085</v>
      </c>
      <c r="X107" s="30"/>
      <c r="Y107" s="30"/>
      <c r="Z107" s="30"/>
      <c r="AA107" s="30"/>
      <c r="AB107" s="30"/>
      <c r="AC107" s="38">
        <v>0.48537007274256</v>
      </c>
      <c r="AD107" s="17">
        <v>-4.96585850750829</v>
      </c>
      <c r="AE107" s="12">
        <v>3.4444248310058914</v>
      </c>
      <c r="AF107" s="12">
        <v>11.23107683473138</v>
      </c>
      <c r="AG107" s="34">
        <f t="shared" si="1"/>
        <v>105.9683453</v>
      </c>
    </row>
    <row r="108">
      <c r="A108" s="23" t="s">
        <v>149</v>
      </c>
      <c r="B108" s="24" t="s">
        <v>38</v>
      </c>
      <c r="C108" s="25" t="s">
        <v>103</v>
      </c>
      <c r="D108" s="40" t="s">
        <v>103</v>
      </c>
      <c r="E108" s="41" t="s">
        <v>103</v>
      </c>
      <c r="F108" s="42" t="s">
        <v>103</v>
      </c>
      <c r="G108" s="29" t="s">
        <v>39</v>
      </c>
      <c r="H108" s="29"/>
      <c r="I108" s="11">
        <v>0.375673004150389</v>
      </c>
      <c r="J108" s="30"/>
      <c r="K108" s="30"/>
      <c r="L108" s="30"/>
      <c r="M108" s="30"/>
      <c r="N108" s="30"/>
      <c r="O108" s="30"/>
      <c r="P108" s="36">
        <v>2.02918070771243</v>
      </c>
      <c r="Q108" s="30"/>
      <c r="R108" s="30"/>
      <c r="S108" s="30"/>
      <c r="T108" s="30"/>
      <c r="U108" s="30"/>
      <c r="V108" s="30"/>
      <c r="W108" s="37">
        <v>3.49389618229202</v>
      </c>
      <c r="X108" s="30"/>
      <c r="Y108" s="30"/>
      <c r="Z108" s="30"/>
      <c r="AA108" s="30"/>
      <c r="AB108" s="30"/>
      <c r="AC108" s="38">
        <v>0.408065286807219</v>
      </c>
      <c r="AD108" s="17">
        <v>-3.085830895484801</v>
      </c>
      <c r="AE108" s="12">
        <v>2.2076606383454074</v>
      </c>
      <c r="AF108" s="12">
        <v>8.56210095602332</v>
      </c>
      <c r="AG108" s="34">
        <f t="shared" si="1"/>
        <v>165.3333822</v>
      </c>
    </row>
    <row r="109">
      <c r="A109" s="23" t="s">
        <v>150</v>
      </c>
      <c r="B109" s="24" t="s">
        <v>56</v>
      </c>
      <c r="C109" s="35">
        <v>55.5</v>
      </c>
      <c r="D109" s="26">
        <v>64.704</v>
      </c>
      <c r="E109" s="27">
        <v>0.542</v>
      </c>
      <c r="F109" s="28">
        <v>1703.8636616918193</v>
      </c>
      <c r="G109" s="29" t="s">
        <v>34</v>
      </c>
      <c r="H109" s="24" t="s">
        <v>36</v>
      </c>
      <c r="I109" s="11">
        <v>4.403310058593769</v>
      </c>
      <c r="J109" s="12">
        <v>0.109650545621247</v>
      </c>
      <c r="K109" s="12">
        <v>1.43971386424286</v>
      </c>
      <c r="L109" s="12">
        <v>0.190796856385774</v>
      </c>
      <c r="M109" s="12">
        <v>0.406139033548266</v>
      </c>
      <c r="N109" s="12">
        <v>0.0580630324107828</v>
      </c>
      <c r="O109" s="12">
        <v>0.279842311770729</v>
      </c>
      <c r="P109" s="36">
        <v>2.48420564397966</v>
      </c>
      <c r="Q109" s="12">
        <v>0.452952729656864</v>
      </c>
      <c r="R109" s="12">
        <v>1.30622971380842</v>
      </c>
      <c r="S109" s="12">
        <v>0.196751741353652</v>
      </c>
      <c r="T109" s="12">
        <v>0.0794722047876212</v>
      </c>
      <c r="U109" s="12">
        <v>0.0580630324107828</v>
      </c>
      <c r="V109" s="12">
        <v>0.423165804429305</v>
      </c>
      <c r="W109" s="37">
        <v>2.51663522644664</v>
      </c>
      <c r="X109" s="12">
        <v>0.109650545621247</v>
      </c>
      <c r="Y109" s="12">
        <v>2.51214509942612</v>
      </c>
      <c r="Z109" s="12">
        <v>0.054254461586779</v>
      </c>
      <c r="AA109" s="12">
        <v>1.18686859510926</v>
      </c>
      <c r="AB109" s="12">
        <v>0.0580630324107828</v>
      </c>
      <c r="AC109" s="38">
        <v>3.92098173415419</v>
      </c>
      <c r="AD109" s="21">
        <v>1.40434650770755</v>
      </c>
      <c r="AE109" s="12">
        <v>1.590166461916746</v>
      </c>
      <c r="AF109" s="12">
        <v>0.6418380388067564</v>
      </c>
      <c r="AG109" s="34">
        <f t="shared" si="1"/>
        <v>229.5357176</v>
      </c>
    </row>
    <row r="110">
      <c r="A110" s="23" t="s">
        <v>151</v>
      </c>
      <c r="B110" s="24" t="s">
        <v>38</v>
      </c>
      <c r="C110" s="35">
        <v>66.7</v>
      </c>
      <c r="D110" s="26">
        <v>74.4163</v>
      </c>
      <c r="E110" s="27">
        <v>0.801</v>
      </c>
      <c r="F110" s="28">
        <v>10561.400120607126</v>
      </c>
      <c r="G110" s="29" t="s">
        <v>34</v>
      </c>
      <c r="H110" s="24" t="s">
        <v>32</v>
      </c>
      <c r="I110" s="11">
        <v>1.26718994140624</v>
      </c>
      <c r="J110" s="30"/>
      <c r="K110" s="30"/>
      <c r="L110" s="30"/>
      <c r="M110" s="30"/>
      <c r="N110" s="30"/>
      <c r="O110" s="30"/>
      <c r="P110" s="36">
        <v>1.76567105045984</v>
      </c>
      <c r="Q110" s="30"/>
      <c r="R110" s="30"/>
      <c r="S110" s="30"/>
      <c r="T110" s="30"/>
      <c r="U110" s="30"/>
      <c r="V110" s="30"/>
      <c r="W110" s="37">
        <v>3.22000230315406</v>
      </c>
      <c r="X110" s="30"/>
      <c r="Y110" s="30"/>
      <c r="Z110" s="30"/>
      <c r="AA110" s="30"/>
      <c r="AB110" s="30"/>
      <c r="AC110" s="38">
        <v>0.667019309545547</v>
      </c>
      <c r="AD110" s="17">
        <v>-2.552982993608513</v>
      </c>
      <c r="AE110" s="12">
        <v>2.0345974720380604</v>
      </c>
      <c r="AF110" s="12">
        <v>4.827449905982346</v>
      </c>
      <c r="AG110" s="34">
        <f t="shared" si="1"/>
        <v>179.3966645</v>
      </c>
    </row>
    <row r="111">
      <c r="A111" s="23" t="s">
        <v>152</v>
      </c>
      <c r="B111" s="24" t="s">
        <v>27</v>
      </c>
      <c r="C111" s="35">
        <v>69.1</v>
      </c>
      <c r="D111" s="26">
        <v>74.992</v>
      </c>
      <c r="E111" s="27">
        <v>0.776</v>
      </c>
      <c r="F111" s="28">
        <v>10381.088984158934</v>
      </c>
      <c r="G111" s="29" t="s">
        <v>71</v>
      </c>
      <c r="H111" s="24" t="s">
        <v>32</v>
      </c>
      <c r="I111" s="11">
        <v>126.191</v>
      </c>
      <c r="J111" s="12">
        <v>0.316974736467431</v>
      </c>
      <c r="K111" s="12">
        <v>0.228653925269118</v>
      </c>
      <c r="L111" s="12">
        <v>0.159127813704347</v>
      </c>
      <c r="M111" s="12">
        <v>0.0799786077819466</v>
      </c>
      <c r="N111" s="12">
        <v>0.0429640614334224</v>
      </c>
      <c r="O111" s="12">
        <v>1.22469611844821</v>
      </c>
      <c r="P111" s="36">
        <v>2.05239526310448</v>
      </c>
      <c r="Q111" s="12">
        <v>0.524909995553778</v>
      </c>
      <c r="R111" s="12">
        <v>0.227248873265798</v>
      </c>
      <c r="S111" s="12">
        <v>0.275353786670762</v>
      </c>
      <c r="T111" s="12">
        <v>0.0825107985851621</v>
      </c>
      <c r="U111" s="12">
        <v>0.0429640614334224</v>
      </c>
      <c r="V111" s="12">
        <v>1.22947445756826</v>
      </c>
      <c r="W111" s="37">
        <v>2.38246197307718</v>
      </c>
      <c r="X111" s="12">
        <v>0.316974736467431</v>
      </c>
      <c r="Y111" s="12">
        <v>0.228653925269118</v>
      </c>
      <c r="Z111" s="12">
        <v>0.433337108617014</v>
      </c>
      <c r="AA111" s="12">
        <v>0.132673900925651</v>
      </c>
      <c r="AB111" s="12">
        <v>0.0429640614334224</v>
      </c>
      <c r="AC111" s="38">
        <v>1.15460373271264</v>
      </c>
      <c r="AD111" s="17">
        <v>-1.22785824036454</v>
      </c>
      <c r="AE111" s="12">
        <v>1.505387465997014</v>
      </c>
      <c r="AF111" s="12">
        <v>2.0634455836027787</v>
      </c>
      <c r="AG111" s="34">
        <f t="shared" si="1"/>
        <v>242.4624944</v>
      </c>
    </row>
    <row r="112">
      <c r="A112" s="23" t="s">
        <v>153</v>
      </c>
      <c r="B112" s="24" t="s">
        <v>27</v>
      </c>
      <c r="C112" s="35">
        <v>63.8</v>
      </c>
      <c r="D112" s="26">
        <v>69.689</v>
      </c>
      <c r="E112" s="27">
        <v>0.735</v>
      </c>
      <c r="F112" s="28">
        <v>4210.843450411825</v>
      </c>
      <c r="G112" s="29" t="s">
        <v>45</v>
      </c>
      <c r="H112" s="24" t="s">
        <v>36</v>
      </c>
      <c r="I112" s="11">
        <v>3.17021997070312</v>
      </c>
      <c r="J112" s="12">
        <v>0.167473229312024</v>
      </c>
      <c r="K112" s="12">
        <v>5.4423183094661</v>
      </c>
      <c r="L112" s="12">
        <v>0.10684171485646</v>
      </c>
      <c r="M112" s="12">
        <v>1.20073196316114E-5</v>
      </c>
      <c r="N112" s="12">
        <v>0.0241003586822616</v>
      </c>
      <c r="O112" s="12">
        <v>2.31809828331021</v>
      </c>
      <c r="P112" s="36">
        <v>8.05884390294668</v>
      </c>
      <c r="Q112" s="12">
        <v>0.333848725360166</v>
      </c>
      <c r="R112" s="12">
        <v>4.44132435370552</v>
      </c>
      <c r="S112" s="12">
        <v>0.14928882026143</v>
      </c>
      <c r="T112" s="12">
        <v>0.00376848268721474</v>
      </c>
      <c r="U112" s="12">
        <v>0.0241003586822616</v>
      </c>
      <c r="V112" s="12">
        <v>2.32338482587923</v>
      </c>
      <c r="W112" s="37">
        <v>7.27571556657582</v>
      </c>
      <c r="X112" s="12">
        <v>0.167473229312024</v>
      </c>
      <c r="Y112" s="12">
        <v>7.22181468295466</v>
      </c>
      <c r="Z112" s="12">
        <v>6.65015330416621</v>
      </c>
      <c r="AA112" s="12">
        <v>0.078883165455409</v>
      </c>
      <c r="AB112" s="12">
        <v>0.0241003586822616</v>
      </c>
      <c r="AC112" s="38">
        <v>14.1424247405706</v>
      </c>
      <c r="AD112" s="21">
        <v>6.8667091739947805</v>
      </c>
      <c r="AE112" s="12">
        <v>4.59724904063675</v>
      </c>
      <c r="AF112" s="12">
        <v>0.5144602640665895</v>
      </c>
      <c r="AG112" s="34">
        <f t="shared" si="1"/>
        <v>79.39530723</v>
      </c>
    </row>
    <row r="113">
      <c r="A113" s="23" t="s">
        <v>154</v>
      </c>
      <c r="B113" s="24" t="s">
        <v>27</v>
      </c>
      <c r="C113" s="35">
        <v>68.2</v>
      </c>
      <c r="D113" s="26">
        <v>76.77</v>
      </c>
      <c r="E113" s="27">
        <v>0.826</v>
      </c>
      <c r="F113" s="28">
        <v>8179.748662821381</v>
      </c>
      <c r="G113" s="29" t="s">
        <v>31</v>
      </c>
      <c r="H113" s="24" t="s">
        <v>32</v>
      </c>
      <c r="I113" s="11">
        <v>0.627809020996094</v>
      </c>
      <c r="J113" s="12">
        <v>0.063444586279357</v>
      </c>
      <c r="K113" s="12">
        <v>0.179040951590795</v>
      </c>
      <c r="L113" s="12">
        <v>0.801104572452289</v>
      </c>
      <c r="M113" s="12">
        <v>0.015084802355875</v>
      </c>
      <c r="N113" s="12">
        <v>0.00885123046870867</v>
      </c>
      <c r="O113" s="12">
        <v>1.35924549461696</v>
      </c>
      <c r="P113" s="36">
        <v>2.42677163776398</v>
      </c>
      <c r="Q113" s="12">
        <v>0.634547104773938</v>
      </c>
      <c r="R113" s="12">
        <v>0.422588562473004</v>
      </c>
      <c r="S113" s="12">
        <v>0.600006762866563</v>
      </c>
      <c r="T113" s="12">
        <v>0.0715762180229677</v>
      </c>
      <c r="U113" s="12">
        <v>0.00885123046870867</v>
      </c>
      <c r="V113" s="12">
        <v>2.4912011513193</v>
      </c>
      <c r="W113" s="37">
        <v>4.22877102992449</v>
      </c>
      <c r="X113" s="12">
        <v>0.063444586279357</v>
      </c>
      <c r="Y113" s="12">
        <v>0.188679282616761</v>
      </c>
      <c r="Z113" s="12">
        <v>2.01032355343244</v>
      </c>
      <c r="AA113" s="12">
        <v>0.239746490479392</v>
      </c>
      <c r="AB113" s="12">
        <v>0.00885123046870867</v>
      </c>
      <c r="AC113" s="38">
        <v>2.51104514327666</v>
      </c>
      <c r="AD113" s="17">
        <v>-1.7177258866478295</v>
      </c>
      <c r="AE113" s="12">
        <v>2.672000215305592</v>
      </c>
      <c r="AF113" s="12">
        <v>1.684068102577547</v>
      </c>
      <c r="AG113" s="34">
        <f t="shared" si="1"/>
        <v>136.6017854</v>
      </c>
    </row>
    <row r="114">
      <c r="A114" s="23" t="s">
        <v>155</v>
      </c>
      <c r="B114" s="24" t="s">
        <v>56</v>
      </c>
      <c r="C114" s="35">
        <v>70.5</v>
      </c>
      <c r="D114" s="26">
        <v>76.453</v>
      </c>
      <c r="E114" s="27">
        <v>0.68</v>
      </c>
      <c r="F114" s="28">
        <v>3413.9069437141293</v>
      </c>
      <c r="G114" s="29" t="s">
        <v>34</v>
      </c>
      <c r="H114" s="24" t="s">
        <v>36</v>
      </c>
      <c r="I114" s="11">
        <v>36.0291015624999</v>
      </c>
      <c r="J114" s="12">
        <v>0.430324468372066</v>
      </c>
      <c r="K114" s="12">
        <v>0.154026930650935</v>
      </c>
      <c r="L114" s="12">
        <v>0.0751364588374645</v>
      </c>
      <c r="M114" s="12">
        <v>0.117583944332109</v>
      </c>
      <c r="N114" s="12">
        <v>0.0493395044204996</v>
      </c>
      <c r="O114" s="12">
        <v>0.617148293908205</v>
      </c>
      <c r="P114" s="36">
        <v>1.44355960052128</v>
      </c>
      <c r="Q114" s="12">
        <v>0.662856190878053</v>
      </c>
      <c r="R114" s="12">
        <v>0.158141496461405</v>
      </c>
      <c r="S114" s="12">
        <v>0.150494684695344</v>
      </c>
      <c r="T114" s="12">
        <v>0.0709822417121151</v>
      </c>
      <c r="U114" s="12">
        <v>0.0493395044204996</v>
      </c>
      <c r="V114" s="12">
        <v>0.66174007530036</v>
      </c>
      <c r="W114" s="37">
        <v>1.75355419346778</v>
      </c>
      <c r="X114" s="12">
        <v>0.430324468372066</v>
      </c>
      <c r="Y114" s="12">
        <v>0.154026930650935</v>
      </c>
      <c r="Z114" s="12">
        <v>0.0877864009745079</v>
      </c>
      <c r="AA114" s="12">
        <v>0.0670761981983162</v>
      </c>
      <c r="AB114" s="12">
        <v>0.0493395044204996</v>
      </c>
      <c r="AC114" s="38">
        <v>0.788553502616325</v>
      </c>
      <c r="AD114" s="17">
        <v>-0.9650006908514551</v>
      </c>
      <c r="AE114" s="12">
        <v>1.1080044649709015</v>
      </c>
      <c r="AF114" s="12">
        <v>2.223760578895027</v>
      </c>
      <c r="AG114" s="34">
        <f t="shared" si="1"/>
        <v>329.4210552</v>
      </c>
    </row>
    <row r="115">
      <c r="A115" s="23" t="s">
        <v>156</v>
      </c>
      <c r="B115" s="24" t="s">
        <v>27</v>
      </c>
      <c r="C115" s="35">
        <v>51.1</v>
      </c>
      <c r="D115" s="26">
        <v>60.163</v>
      </c>
      <c r="E115" s="27">
        <v>0.452</v>
      </c>
      <c r="F115" s="28">
        <v>592.5108489286703</v>
      </c>
      <c r="G115" s="29" t="s">
        <v>34</v>
      </c>
      <c r="H115" s="24" t="s">
        <v>29</v>
      </c>
      <c r="I115" s="11">
        <v>29.4959999999999</v>
      </c>
      <c r="J115" s="12">
        <v>0.226762007836401</v>
      </c>
      <c r="K115" s="12">
        <v>0.018636339486329</v>
      </c>
      <c r="L115" s="12">
        <v>0.26051956041469</v>
      </c>
      <c r="M115" s="12">
        <v>0.024397980148811</v>
      </c>
      <c r="N115" s="12">
        <v>0.0518530374491383</v>
      </c>
      <c r="O115" s="12">
        <v>0.0912074811222978</v>
      </c>
      <c r="P115" s="36">
        <v>0.673376406457668</v>
      </c>
      <c r="Q115" s="12">
        <v>0.279171864457371</v>
      </c>
      <c r="R115" s="12">
        <v>0.0228953465756169</v>
      </c>
      <c r="S115" s="12">
        <v>0.245616784482953</v>
      </c>
      <c r="T115" s="12">
        <v>0.0329531128365034</v>
      </c>
      <c r="U115" s="12">
        <v>0.0518530374491383</v>
      </c>
      <c r="V115" s="12">
        <v>0.166682750085712</v>
      </c>
      <c r="W115" s="37">
        <v>0.799172895887295</v>
      </c>
      <c r="X115" s="12">
        <v>0.226762007836401</v>
      </c>
      <c r="Y115" s="12">
        <v>0.659216320860475</v>
      </c>
      <c r="Z115" s="12">
        <v>0.488341753339465</v>
      </c>
      <c r="AA115" s="12">
        <v>0.142141927192465</v>
      </c>
      <c r="AB115" s="12">
        <v>0.0518530374491383</v>
      </c>
      <c r="AC115" s="38">
        <v>1.56831504667794</v>
      </c>
      <c r="AD115" s="21">
        <v>0.7691421507906451</v>
      </c>
      <c r="AE115" s="12">
        <v>0.5049670778498916</v>
      </c>
      <c r="AF115" s="12">
        <v>0.5095742067769681</v>
      </c>
      <c r="AG115" s="39" t="str">
        <f t="shared" si="1"/>
        <v/>
      </c>
    </row>
    <row r="116">
      <c r="A116" s="23" t="s">
        <v>157</v>
      </c>
      <c r="B116" s="24" t="s">
        <v>27</v>
      </c>
      <c r="C116" s="35">
        <v>64.9</v>
      </c>
      <c r="D116" s="26">
        <v>66.867</v>
      </c>
      <c r="E116" s="27">
        <v>0.579</v>
      </c>
      <c r="F116" s="28">
        <v>1573.1497509877759</v>
      </c>
      <c r="G116" s="29" t="s">
        <v>45</v>
      </c>
      <c r="H116" s="24" t="s">
        <v>29</v>
      </c>
      <c r="I116" s="11">
        <v>53.70830078125</v>
      </c>
      <c r="J116" s="12">
        <v>0.947821970420568</v>
      </c>
      <c r="K116" s="12">
        <v>0.00459633155801861</v>
      </c>
      <c r="L116" s="12">
        <v>0.325187307501996</v>
      </c>
      <c r="M116" s="12">
        <v>0.0621485168861377</v>
      </c>
      <c r="N116" s="12">
        <v>0.120208668077518</v>
      </c>
      <c r="O116" s="12">
        <v>0.202748540772107</v>
      </c>
      <c r="P116" s="36">
        <v>1.66271133521635</v>
      </c>
      <c r="Q116" s="12">
        <v>0.841386924751773</v>
      </c>
      <c r="R116" s="12">
        <v>0.00910912523954602</v>
      </c>
      <c r="S116" s="12">
        <v>0.338093364419774</v>
      </c>
      <c r="T116" s="12">
        <v>0.0457031291014228</v>
      </c>
      <c r="U116" s="12">
        <v>0.120208668077518</v>
      </c>
      <c r="V116" s="12">
        <v>0.303670266332488</v>
      </c>
      <c r="W116" s="37">
        <v>1.65817147792252</v>
      </c>
      <c r="X116" s="12">
        <v>0.947821970420568</v>
      </c>
      <c r="Y116" s="12">
        <v>0.00459633155801861</v>
      </c>
      <c r="Z116" s="12">
        <v>0.509579777864589</v>
      </c>
      <c r="AA116" s="12">
        <v>0.280429709930508</v>
      </c>
      <c r="AB116" s="12">
        <v>0.120208668077518</v>
      </c>
      <c r="AC116" s="38">
        <v>1.8626364578512</v>
      </c>
      <c r="AD116" s="21">
        <v>0.20446497992867996</v>
      </c>
      <c r="AE116" s="12">
        <v>1.0477357404006054</v>
      </c>
      <c r="AF116" s="12">
        <v>0.8902281875419975</v>
      </c>
      <c r="AG116" s="34">
        <f t="shared" si="1"/>
        <v>348.3702864</v>
      </c>
    </row>
    <row r="117">
      <c r="A117" s="23" t="s">
        <v>158</v>
      </c>
      <c r="B117" s="24" t="s">
        <v>56</v>
      </c>
      <c r="C117" s="35">
        <v>61.8</v>
      </c>
      <c r="D117" s="26">
        <v>63.373</v>
      </c>
      <c r="E117" s="27">
        <v>0.645</v>
      </c>
      <c r="F117" s="28">
        <v>5942.2863659883715</v>
      </c>
      <c r="G117" s="29" t="s">
        <v>34</v>
      </c>
      <c r="H117" s="24" t="s">
        <v>32</v>
      </c>
      <c r="I117" s="11">
        <v>2.44830004882812</v>
      </c>
      <c r="J117" s="12">
        <v>0.126108931516603</v>
      </c>
      <c r="K117" s="12">
        <v>1.26112093368407</v>
      </c>
      <c r="L117" s="12">
        <v>0.242007893160282</v>
      </c>
      <c r="M117" s="12">
        <v>2.1464146256745398</v>
      </c>
      <c r="N117" s="12">
        <v>0.0195412795341702</v>
      </c>
      <c r="O117" s="12">
        <v>0.561778175526226</v>
      </c>
      <c r="P117" s="36">
        <v>4.35697183909589</v>
      </c>
      <c r="Q117" s="12">
        <v>0.29543114201994</v>
      </c>
      <c r="R117" s="12">
        <v>0.245578811949357</v>
      </c>
      <c r="S117" s="12">
        <v>0.25542674226849</v>
      </c>
      <c r="T117" s="12">
        <v>0.511770955948708</v>
      </c>
      <c r="U117" s="12">
        <v>0.0195412795341702</v>
      </c>
      <c r="V117" s="12">
        <v>1.18230367827055</v>
      </c>
      <c r="W117" s="37">
        <v>2.51005260999122</v>
      </c>
      <c r="X117" s="12">
        <v>0.126108931516603</v>
      </c>
      <c r="Y117" s="12">
        <v>1.47701839703986</v>
      </c>
      <c r="Z117" s="12">
        <v>0.307029024175542</v>
      </c>
      <c r="AA117" s="12">
        <v>4.39192778840751</v>
      </c>
      <c r="AB117" s="12">
        <v>0.0195412795341702</v>
      </c>
      <c r="AC117" s="38">
        <v>6.32162542067369</v>
      </c>
      <c r="AD117" s="21">
        <v>3.8115728106824696</v>
      </c>
      <c r="AE117" s="12">
        <v>1.5860071559477797</v>
      </c>
      <c r="AF117" s="12">
        <v>0.39705810499030264</v>
      </c>
      <c r="AG117" s="34">
        <f t="shared" si="1"/>
        <v>230.1376754</v>
      </c>
    </row>
    <row r="118">
      <c r="A118" s="23" t="s">
        <v>159</v>
      </c>
      <c r="B118" s="24" t="s">
        <v>27</v>
      </c>
      <c r="C118" s="35">
        <v>66.5</v>
      </c>
      <c r="D118" s="26">
        <v>70.478</v>
      </c>
      <c r="E118" s="27">
        <v>0.596</v>
      </c>
      <c r="F118" s="28">
        <v>817.5521748421545</v>
      </c>
      <c r="G118" s="29" t="s">
        <v>45</v>
      </c>
      <c r="H118" s="24" t="s">
        <v>29</v>
      </c>
      <c r="I118" s="11">
        <v>28.0956992187499</v>
      </c>
      <c r="J118" s="12">
        <v>0.368480584037828</v>
      </c>
      <c r="K118" s="12">
        <v>0.0468712050608308</v>
      </c>
      <c r="L118" s="12">
        <v>0.191522682105948</v>
      </c>
      <c r="M118" s="12">
        <v>0.00113808555264184</v>
      </c>
      <c r="N118" s="12">
        <v>0.103597261512608</v>
      </c>
      <c r="O118" s="12">
        <v>0.161269644188332</v>
      </c>
      <c r="P118" s="36">
        <v>0.872879462458188</v>
      </c>
      <c r="Q118" s="12">
        <v>0.476259635363617</v>
      </c>
      <c r="R118" s="12">
        <v>0.0595205232896447</v>
      </c>
      <c r="S118" s="12">
        <v>0.199757370572248</v>
      </c>
      <c r="T118" s="12">
        <v>0.00408428227028872</v>
      </c>
      <c r="U118" s="12">
        <v>0.103597261512608</v>
      </c>
      <c r="V118" s="12">
        <v>0.346222978437622</v>
      </c>
      <c r="W118" s="37">
        <v>1.18944205144603</v>
      </c>
      <c r="X118" s="12">
        <v>0.368480584037829</v>
      </c>
      <c r="Y118" s="12">
        <v>0.0468712050608308</v>
      </c>
      <c r="Z118" s="12">
        <v>0.0938443741371882</v>
      </c>
      <c r="AA118" s="12">
        <v>0.00496872816002454</v>
      </c>
      <c r="AB118" s="12">
        <v>0.103597261512608</v>
      </c>
      <c r="AC118" s="38">
        <v>0.61776215290848</v>
      </c>
      <c r="AD118" s="17">
        <v>-0.57167989853755</v>
      </c>
      <c r="AE118" s="12">
        <v>0.7515633726837341</v>
      </c>
      <c r="AF118" s="12">
        <v>1.9254045361083216</v>
      </c>
      <c r="AG118" s="39" t="str">
        <f t="shared" si="1"/>
        <v/>
      </c>
    </row>
    <row r="119">
      <c r="A119" s="23" t="s">
        <v>160</v>
      </c>
      <c r="B119" s="24" t="s">
        <v>27</v>
      </c>
      <c r="C119" s="35">
        <v>81.6</v>
      </c>
      <c r="D119" s="26">
        <v>81.8122</v>
      </c>
      <c r="E119" s="27">
        <v>0.942</v>
      </c>
      <c r="F119" s="28">
        <v>55369.23300982671</v>
      </c>
      <c r="G119" s="29" t="s">
        <v>47</v>
      </c>
      <c r="H119" s="24" t="s">
        <v>40</v>
      </c>
      <c r="I119" s="11">
        <v>17.0853007812499</v>
      </c>
      <c r="J119" s="12">
        <v>0.175777386583018</v>
      </c>
      <c r="K119" s="12">
        <v>0.0424551479170625</v>
      </c>
      <c r="L119" s="12">
        <v>0.0836226656995078</v>
      </c>
      <c r="M119" s="12">
        <v>0.141511989568938</v>
      </c>
      <c r="N119" s="12">
        <v>0.069512542567257</v>
      </c>
      <c r="O119" s="12">
        <v>3.10623847549273</v>
      </c>
      <c r="P119" s="36">
        <v>3.61911820782851</v>
      </c>
      <c r="Q119" s="12">
        <v>1.04426999171493</v>
      </c>
      <c r="R119" s="12">
        <v>0.58003065560321</v>
      </c>
      <c r="S119" s="12">
        <v>0.341892206066027</v>
      </c>
      <c r="T119" s="12">
        <v>0.00216923426154438</v>
      </c>
      <c r="U119" s="12">
        <v>0.069512542567257</v>
      </c>
      <c r="V119" s="12">
        <v>3.65369315234102</v>
      </c>
      <c r="W119" s="37">
        <v>5.69156778255399</v>
      </c>
      <c r="X119" s="12">
        <v>0.175777386583018</v>
      </c>
      <c r="Y119" s="12">
        <v>0.0424551479170625</v>
      </c>
      <c r="Z119" s="12">
        <v>0.0746093087188799</v>
      </c>
      <c r="AA119" s="12">
        <v>0.417288818616891</v>
      </c>
      <c r="AB119" s="12">
        <v>0.069512542567257</v>
      </c>
      <c r="AC119" s="38">
        <v>0.779643204403109</v>
      </c>
      <c r="AD119" s="17">
        <v>-4.911924578150881</v>
      </c>
      <c r="AE119" s="12">
        <v>3.5962860681729056</v>
      </c>
      <c r="AF119" s="12">
        <v>7.300221114492271</v>
      </c>
      <c r="AG119" s="34">
        <f t="shared" si="1"/>
        <v>101.4935945</v>
      </c>
    </row>
    <row r="120">
      <c r="A120" s="23" t="s">
        <v>161</v>
      </c>
      <c r="B120" s="24" t="s">
        <v>38</v>
      </c>
      <c r="C120" s="35">
        <v>79.1</v>
      </c>
      <c r="D120" s="26">
        <v>81.8585</v>
      </c>
      <c r="E120" s="27">
        <v>0.928</v>
      </c>
      <c r="F120" s="28">
        <v>39214.61241742537</v>
      </c>
      <c r="G120" s="29" t="s">
        <v>45</v>
      </c>
      <c r="H120" s="24" t="s">
        <v>40</v>
      </c>
      <c r="I120" s="11">
        <v>4.7431298828124895</v>
      </c>
      <c r="J120" s="30"/>
      <c r="K120" s="30"/>
      <c r="L120" s="30"/>
      <c r="M120" s="30"/>
      <c r="N120" s="30"/>
      <c r="O120" s="30"/>
      <c r="P120" s="36">
        <v>12.0559431036444</v>
      </c>
      <c r="Q120" s="30"/>
      <c r="R120" s="30"/>
      <c r="S120" s="30"/>
      <c r="T120" s="30"/>
      <c r="U120" s="30"/>
      <c r="V120" s="30"/>
      <c r="W120" s="37">
        <v>5.30024454272019</v>
      </c>
      <c r="X120" s="30"/>
      <c r="Y120" s="30"/>
      <c r="Z120" s="30"/>
      <c r="AA120" s="30"/>
      <c r="AB120" s="30"/>
      <c r="AC120" s="38">
        <v>8.83559736712027</v>
      </c>
      <c r="AD120" s="21">
        <v>3.5353528244000803</v>
      </c>
      <c r="AE120" s="12">
        <v>3.349023737417517</v>
      </c>
      <c r="AF120" s="12">
        <v>0.5998739329661945</v>
      </c>
      <c r="AG120" s="34">
        <f t="shared" si="1"/>
        <v>108.986985</v>
      </c>
    </row>
    <row r="121">
      <c r="A121" s="23" t="s">
        <v>162</v>
      </c>
      <c r="B121" s="24" t="s">
        <v>27</v>
      </c>
      <c r="C121" s="35">
        <v>66.3</v>
      </c>
      <c r="D121" s="26">
        <v>74.275</v>
      </c>
      <c r="E121" s="27">
        <v>0.659</v>
      </c>
      <c r="F121" s="28">
        <v>1857.056685484503</v>
      </c>
      <c r="G121" s="29" t="s">
        <v>39</v>
      </c>
      <c r="H121" s="24" t="s">
        <v>36</v>
      </c>
      <c r="I121" s="11">
        <v>6.46549999999997</v>
      </c>
      <c r="J121" s="12">
        <v>0.379832964408539</v>
      </c>
      <c r="K121" s="12">
        <v>0.542100936984834</v>
      </c>
      <c r="L121" s="12">
        <v>0.374157626519428</v>
      </c>
      <c r="M121" s="12">
        <v>0.0924397204278175</v>
      </c>
      <c r="N121" s="12">
        <v>0.0481740650427554</v>
      </c>
      <c r="O121" s="12">
        <v>0.267235350539914</v>
      </c>
      <c r="P121" s="36">
        <v>1.70394066392329</v>
      </c>
      <c r="Q121" s="12">
        <v>0.292928057373775</v>
      </c>
      <c r="R121" s="12">
        <v>0.199295910482429</v>
      </c>
      <c r="S121" s="12">
        <v>0.398710839058532</v>
      </c>
      <c r="T121" s="12">
        <v>0.0261389717393259</v>
      </c>
      <c r="U121" s="12">
        <v>0.0481740650427554</v>
      </c>
      <c r="V121" s="12">
        <v>0.462215621444879</v>
      </c>
      <c r="W121" s="37">
        <v>1.4274634651417</v>
      </c>
      <c r="X121" s="12">
        <v>0.379832964408539</v>
      </c>
      <c r="Y121" s="12">
        <v>0.542100936984834</v>
      </c>
      <c r="Z121" s="12">
        <v>0.771101925062932</v>
      </c>
      <c r="AA121" s="12">
        <v>0.452359614755332</v>
      </c>
      <c r="AB121" s="12">
        <v>0.0481740650427554</v>
      </c>
      <c r="AC121" s="38">
        <v>2.19356950625439</v>
      </c>
      <c r="AD121" s="21">
        <v>0.7661060411126901</v>
      </c>
      <c r="AE121" s="12">
        <v>0.9019600870344584</v>
      </c>
      <c r="AF121" s="12">
        <v>0.6507491379104519</v>
      </c>
      <c r="AG121" s="39" t="str">
        <f t="shared" si="1"/>
        <v/>
      </c>
    </row>
    <row r="122">
      <c r="A122" s="23" t="s">
        <v>163</v>
      </c>
      <c r="B122" s="24" t="s">
        <v>27</v>
      </c>
      <c r="C122" s="35">
        <v>49.5</v>
      </c>
      <c r="D122" s="26">
        <v>62.024</v>
      </c>
      <c r="E122" s="27">
        <v>0.391</v>
      </c>
      <c r="F122" s="28">
        <v>552.3241114520821</v>
      </c>
      <c r="G122" s="29" t="s">
        <v>34</v>
      </c>
      <c r="H122" s="24" t="s">
        <v>29</v>
      </c>
      <c r="I122" s="11">
        <v>22.44280078125</v>
      </c>
      <c r="J122" s="12">
        <v>0.829996364626125</v>
      </c>
      <c r="K122" s="12">
        <v>0.393352155598173</v>
      </c>
      <c r="L122" s="12">
        <v>0.217472322162512</v>
      </c>
      <c r="M122" s="12">
        <v>0.00502738665593487</v>
      </c>
      <c r="N122" s="12">
        <v>0.0412394252744863</v>
      </c>
      <c r="O122" s="12">
        <v>0.0285021733719049</v>
      </c>
      <c r="P122" s="36">
        <v>1.51558982768914</v>
      </c>
      <c r="Q122" s="12">
        <v>0.820321441187317</v>
      </c>
      <c r="R122" s="12">
        <v>0.388201498787552</v>
      </c>
      <c r="S122" s="12">
        <v>0.218267800993263</v>
      </c>
      <c r="T122" s="12">
        <v>0.00740629164781417</v>
      </c>
      <c r="U122" s="12">
        <v>0.0412394252744863</v>
      </c>
      <c r="V122" s="12">
        <v>0.0679331922295797</v>
      </c>
      <c r="W122" s="37">
        <v>1.54336965012001</v>
      </c>
      <c r="X122" s="12">
        <v>0.829996364626125</v>
      </c>
      <c r="Y122" s="12">
        <v>0.393352155598173</v>
      </c>
      <c r="Z122" s="12">
        <v>0.0363225574745543</v>
      </c>
      <c r="AA122" s="12">
        <v>4.87226059105165E-4</v>
      </c>
      <c r="AB122" s="12">
        <v>0.0412394252744863</v>
      </c>
      <c r="AC122" s="38">
        <v>1.30139772903244</v>
      </c>
      <c r="AD122" s="17">
        <v>-0.24197192108756993</v>
      </c>
      <c r="AE122" s="12">
        <v>0.9751968144490483</v>
      </c>
      <c r="AF122" s="12">
        <v>1.1859323369708588</v>
      </c>
      <c r="AG122" s="39" t="str">
        <f t="shared" si="1"/>
        <v/>
      </c>
    </row>
    <row r="123">
      <c r="A123" s="23" t="s">
        <v>164</v>
      </c>
      <c r="B123" s="24" t="s">
        <v>27</v>
      </c>
      <c r="C123" s="35">
        <v>48.9</v>
      </c>
      <c r="D123" s="26">
        <v>54.332</v>
      </c>
      <c r="E123" s="27">
        <v>0.534</v>
      </c>
      <c r="F123" s="28">
        <v>2384.1735800893425</v>
      </c>
      <c r="G123" s="29" t="s">
        <v>34</v>
      </c>
      <c r="H123" s="24" t="s">
        <v>36</v>
      </c>
      <c r="I123" s="11">
        <v>195.875</v>
      </c>
      <c r="J123" s="12">
        <v>0.482714933164087</v>
      </c>
      <c r="K123" s="12">
        <v>0.0898655181949677</v>
      </c>
      <c r="L123" s="12">
        <v>0.162991563277647</v>
      </c>
      <c r="M123" s="12">
        <v>0.0212418844047657</v>
      </c>
      <c r="N123" s="12">
        <v>0.0553278295675901</v>
      </c>
      <c r="O123" s="12">
        <v>0.165229471314388</v>
      </c>
      <c r="P123" s="36">
        <v>0.977371199923445</v>
      </c>
      <c r="Q123" s="12">
        <v>0.508990830442091</v>
      </c>
      <c r="R123" s="12">
        <v>0.0957326831727594</v>
      </c>
      <c r="S123" s="12">
        <v>0.167971456361469</v>
      </c>
      <c r="T123" s="12">
        <v>0.0398115851559402</v>
      </c>
      <c r="U123" s="12">
        <v>0.0553278295675901</v>
      </c>
      <c r="V123" s="12">
        <v>0.219887079442275</v>
      </c>
      <c r="W123" s="37">
        <v>1.08772146414212</v>
      </c>
      <c r="X123" s="12">
        <v>0.482714933164087</v>
      </c>
      <c r="Y123" s="12">
        <v>0.0963809842099925</v>
      </c>
      <c r="Z123" s="12">
        <v>0.0371741410054119</v>
      </c>
      <c r="AA123" s="12">
        <v>0.0159920586886323</v>
      </c>
      <c r="AB123" s="12">
        <v>0.0553278295675901</v>
      </c>
      <c r="AC123" s="38">
        <v>0.687589946635713</v>
      </c>
      <c r="AD123" s="17">
        <v>-0.40013151750640696</v>
      </c>
      <c r="AE123" s="12">
        <v>0.687289987046699</v>
      </c>
      <c r="AF123" s="12">
        <v>1.5819333448143007</v>
      </c>
      <c r="AG123" s="39" t="str">
        <f t="shared" si="1"/>
        <v/>
      </c>
    </row>
    <row r="124">
      <c r="A124" s="23" t="s">
        <v>165</v>
      </c>
      <c r="B124" s="24" t="s">
        <v>27</v>
      </c>
      <c r="C124" s="35">
        <v>82.0</v>
      </c>
      <c r="D124" s="26">
        <v>82.7585</v>
      </c>
      <c r="E124" s="27">
        <v>0.956</v>
      </c>
      <c r="F124" s="28">
        <v>91608.03070432125</v>
      </c>
      <c r="G124" s="29" t="s">
        <v>31</v>
      </c>
      <c r="H124" s="24" t="s">
        <v>40</v>
      </c>
      <c r="I124" s="11">
        <v>5.3379599609375</v>
      </c>
      <c r="J124" s="12">
        <v>0.155602587684484</v>
      </c>
      <c r="K124" s="12">
        <v>0.317249678380616</v>
      </c>
      <c r="L124" s="12">
        <v>1.52845679793706</v>
      </c>
      <c r="M124" s="12">
        <v>5.51873103749215</v>
      </c>
      <c r="N124" s="12">
        <v>0.0273746142005462</v>
      </c>
      <c r="O124" s="12">
        <v>2.78304996588163</v>
      </c>
      <c r="P124" s="36">
        <v>10.3304646815765</v>
      </c>
      <c r="Q124" s="12">
        <v>0.829313647704449</v>
      </c>
      <c r="R124" s="12">
        <v>0.276929040239885</v>
      </c>
      <c r="S124" s="12">
        <v>0.885709248504835</v>
      </c>
      <c r="T124" s="12">
        <v>1.15171151776193</v>
      </c>
      <c r="U124" s="12">
        <v>0.0273746142005462</v>
      </c>
      <c r="V124" s="12">
        <v>2.4978648423053</v>
      </c>
      <c r="W124" s="37">
        <v>5.66890291071694</v>
      </c>
      <c r="X124" s="12">
        <v>0.155602587684484</v>
      </c>
      <c r="Y124" s="12">
        <v>0.574952029797569</v>
      </c>
      <c r="Z124" s="12">
        <v>3.29811853656122</v>
      </c>
      <c r="AA124" s="12">
        <v>2.85244013229043</v>
      </c>
      <c r="AB124" s="12">
        <v>0.0273746142005462</v>
      </c>
      <c r="AC124" s="38">
        <v>6.90848790053425</v>
      </c>
      <c r="AD124" s="21">
        <v>1.2395849898173097</v>
      </c>
      <c r="AE124" s="12">
        <v>3.581964994272257</v>
      </c>
      <c r="AF124" s="12">
        <v>0.8205707229042914</v>
      </c>
      <c r="AG124" s="34">
        <f t="shared" si="1"/>
        <v>101.8993766</v>
      </c>
    </row>
    <row r="125">
      <c r="A125" s="23" t="s">
        <v>166</v>
      </c>
      <c r="B125" s="24" t="s">
        <v>27</v>
      </c>
      <c r="C125" s="35">
        <v>70.1</v>
      </c>
      <c r="D125" s="26">
        <v>77.633</v>
      </c>
      <c r="E125" s="27">
        <v>0.813</v>
      </c>
      <c r="F125" s="28">
        <v>15796.763745538165</v>
      </c>
      <c r="G125" s="29" t="s">
        <v>28</v>
      </c>
      <c r="H125" s="24" t="s">
        <v>40</v>
      </c>
      <c r="I125" s="11">
        <v>4.82947021484374</v>
      </c>
      <c r="J125" s="12">
        <v>0.0650400904114341</v>
      </c>
      <c r="K125" s="12">
        <v>0.0294949950746868</v>
      </c>
      <c r="L125" s="12">
        <v>0.00381737387818947</v>
      </c>
      <c r="M125" s="12">
        <v>0.778101993470703</v>
      </c>
      <c r="N125" s="12">
        <v>0.225544031905751</v>
      </c>
      <c r="O125" s="12">
        <v>5.40511219218508</v>
      </c>
      <c r="P125" s="36">
        <v>6.50711067692585</v>
      </c>
      <c r="Q125" s="12">
        <v>0.544729700648042</v>
      </c>
      <c r="R125" s="12">
        <v>0.313935902390568</v>
      </c>
      <c r="S125" s="12">
        <v>0.133358857858456</v>
      </c>
      <c r="T125" s="12">
        <v>0.427853166547609</v>
      </c>
      <c r="U125" s="12">
        <v>0.225544031905751</v>
      </c>
      <c r="V125" s="12">
        <v>4.64299649511356</v>
      </c>
      <c r="W125" s="37">
        <v>6.28841815446399</v>
      </c>
      <c r="X125" s="12">
        <v>0.0650400904114341</v>
      </c>
      <c r="Y125" s="12">
        <v>0.0294949950746868</v>
      </c>
      <c r="Z125" s="12">
        <v>9.92628162015189E-4</v>
      </c>
      <c r="AA125" s="12">
        <v>1.10591532589441</v>
      </c>
      <c r="AB125" s="12">
        <v>0.225544031905751</v>
      </c>
      <c r="AC125" s="38">
        <v>1.4269870714483</v>
      </c>
      <c r="AD125" s="17">
        <v>-4.86143108301569</v>
      </c>
      <c r="AE125" s="12">
        <v>3.973413207704322</v>
      </c>
      <c r="AF125" s="12">
        <v>4.406780047475588</v>
      </c>
      <c r="AG125" s="34">
        <f t="shared" si="1"/>
        <v>91.86056947</v>
      </c>
    </row>
    <row r="126">
      <c r="A126" s="23" t="s">
        <v>167</v>
      </c>
      <c r="B126" s="24" t="s">
        <v>27</v>
      </c>
      <c r="C126" s="35">
        <v>57.7</v>
      </c>
      <c r="D126" s="26">
        <v>67.114</v>
      </c>
      <c r="E126" s="27">
        <v>0.552</v>
      </c>
      <c r="F126" s="28">
        <v>1196.8260549974614</v>
      </c>
      <c r="G126" s="29" t="s">
        <v>45</v>
      </c>
      <c r="H126" s="24" t="s">
        <v>36</v>
      </c>
      <c r="I126" s="11">
        <v>212.22799999999899</v>
      </c>
      <c r="J126" s="12">
        <v>0.244267540716012</v>
      </c>
      <c r="K126" s="12">
        <v>0.00327675915089209</v>
      </c>
      <c r="L126" s="12">
        <v>0.0657593773807392</v>
      </c>
      <c r="M126" s="12">
        <v>0.0206964111162715</v>
      </c>
      <c r="N126" s="12">
        <v>0.0375595296148876</v>
      </c>
      <c r="O126" s="12">
        <v>0.308425197143191</v>
      </c>
      <c r="P126" s="36">
        <v>0.679984815121994</v>
      </c>
      <c r="Q126" s="12">
        <v>0.255168458908485</v>
      </c>
      <c r="R126" s="12">
        <v>0.00450189486665063</v>
      </c>
      <c r="S126" s="12">
        <v>0.0785332477702322</v>
      </c>
      <c r="T126" s="12">
        <v>0.0116475690481977</v>
      </c>
      <c r="U126" s="12">
        <v>0.0375595296148876</v>
      </c>
      <c r="V126" s="12">
        <v>0.383623768691558</v>
      </c>
      <c r="W126" s="37">
        <v>0.771034468900011</v>
      </c>
      <c r="X126" s="12">
        <v>0.244267540716012</v>
      </c>
      <c r="Y126" s="12">
        <v>0.00327675915089209</v>
      </c>
      <c r="Z126" s="12">
        <v>0.0188485499659512</v>
      </c>
      <c r="AA126" s="12">
        <v>0.0301683589481987</v>
      </c>
      <c r="AB126" s="12">
        <v>0.0375595296148876</v>
      </c>
      <c r="AC126" s="38">
        <v>0.334120738395942</v>
      </c>
      <c r="AD126" s="17">
        <v>-0.43691373050406906</v>
      </c>
      <c r="AE126" s="12">
        <v>0.4871874718044618</v>
      </c>
      <c r="AF126" s="12">
        <v>2.307652235541018</v>
      </c>
      <c r="AG126" s="39" t="str">
        <f t="shared" si="1"/>
        <v/>
      </c>
    </row>
    <row r="127">
      <c r="A127" s="23" t="s">
        <v>168</v>
      </c>
      <c r="B127" s="24" t="s">
        <v>27</v>
      </c>
      <c r="C127" s="35">
        <v>68.0</v>
      </c>
      <c r="D127" s="26">
        <v>78.329</v>
      </c>
      <c r="E127" s="27">
        <v>0.812</v>
      </c>
      <c r="F127" s="28">
        <v>11755.11773707277</v>
      </c>
      <c r="G127" s="29" t="s">
        <v>39</v>
      </c>
      <c r="H127" s="24" t="s">
        <v>32</v>
      </c>
      <c r="I127" s="11">
        <v>4.1768701171875</v>
      </c>
      <c r="J127" s="12">
        <v>0.141205161392816</v>
      </c>
      <c r="K127" s="12">
        <v>0.392724968455583</v>
      </c>
      <c r="L127" s="12">
        <v>0.158364086126834</v>
      </c>
      <c r="M127" s="12">
        <v>0.6423035904566</v>
      </c>
      <c r="N127" s="12">
        <v>0.0275344180004125</v>
      </c>
      <c r="O127" s="12">
        <v>0.813337721037376</v>
      </c>
      <c r="P127" s="36">
        <v>2.17546994546962</v>
      </c>
      <c r="Q127" s="12">
        <v>0.434266816619027</v>
      </c>
      <c r="R127" s="12">
        <v>0.402243562890444</v>
      </c>
      <c r="S127" s="12">
        <v>0.190293114072385</v>
      </c>
      <c r="T127" s="12">
        <v>0.435555575551962</v>
      </c>
      <c r="U127" s="12">
        <v>0.0275344180004125</v>
      </c>
      <c r="V127" s="12">
        <v>1.43318865537255</v>
      </c>
      <c r="W127" s="37">
        <v>2.92308214250678</v>
      </c>
      <c r="X127" s="12">
        <v>0.141205161392816</v>
      </c>
      <c r="Y127" s="12">
        <v>0.392724968455583</v>
      </c>
      <c r="Z127" s="12">
        <v>1.40177276811608</v>
      </c>
      <c r="AA127" s="12">
        <v>0.55061471272645</v>
      </c>
      <c r="AB127" s="12">
        <v>0.0275344180004125</v>
      </c>
      <c r="AC127" s="38">
        <v>2.51385202869134</v>
      </c>
      <c r="AD127" s="17">
        <v>-0.40923011381544017</v>
      </c>
      <c r="AE127" s="12">
        <v>1.8469848707494372</v>
      </c>
      <c r="AF127" s="12">
        <v>1.162790056512784</v>
      </c>
      <c r="AG127" s="34">
        <f t="shared" si="1"/>
        <v>197.6193773</v>
      </c>
    </row>
    <row r="128">
      <c r="A128" s="23" t="s">
        <v>169</v>
      </c>
      <c r="B128" s="24" t="s">
        <v>56</v>
      </c>
      <c r="C128" s="35">
        <v>51.3</v>
      </c>
      <c r="D128" s="26">
        <v>64.263</v>
      </c>
      <c r="E128" s="27">
        <v>0.549</v>
      </c>
      <c r="F128" s="28">
        <v>2397.656518782972</v>
      </c>
      <c r="G128" s="29" t="s">
        <v>45</v>
      </c>
      <c r="H128" s="24" t="s">
        <v>36</v>
      </c>
      <c r="I128" s="11">
        <v>8.60632031250003</v>
      </c>
      <c r="J128" s="12">
        <v>0.343028557971803</v>
      </c>
      <c r="K128" s="12">
        <v>1.53971001729794E-4</v>
      </c>
      <c r="L128" s="12">
        <v>0.570809842753298</v>
      </c>
      <c r="M128" s="12">
        <v>0.997205052982947</v>
      </c>
      <c r="N128" s="12">
        <v>0.140351168772164</v>
      </c>
      <c r="O128" s="12">
        <v>0.218261877515448</v>
      </c>
      <c r="P128" s="36">
        <v>2.26981047099739</v>
      </c>
      <c r="Q128" s="12">
        <v>0.277845425214197</v>
      </c>
      <c r="R128" s="12">
        <v>0.0237227790944533</v>
      </c>
      <c r="S128" s="12">
        <v>0.268787589714066</v>
      </c>
      <c r="T128" s="12">
        <v>0.793047244422011</v>
      </c>
      <c r="U128" s="12">
        <v>0.140351168772164</v>
      </c>
      <c r="V128" s="12">
        <v>0.218426180361841</v>
      </c>
      <c r="W128" s="37">
        <v>1.72218038757873</v>
      </c>
      <c r="X128" s="12">
        <v>0.343028557971803</v>
      </c>
      <c r="Y128" s="12">
        <v>0.0311254740813242</v>
      </c>
      <c r="Z128" s="12">
        <v>2.30736796969655</v>
      </c>
      <c r="AA128" s="12">
        <v>0.604420783500129</v>
      </c>
      <c r="AB128" s="12">
        <v>0.140351168772164</v>
      </c>
      <c r="AC128" s="38">
        <v>3.42629395402197</v>
      </c>
      <c r="AD128" s="21">
        <v>1.70411356644324</v>
      </c>
      <c r="AE128" s="12">
        <v>1.0881805455632825</v>
      </c>
      <c r="AF128" s="12">
        <v>0.5026364960768007</v>
      </c>
      <c r="AG128" s="34">
        <f t="shared" si="1"/>
        <v>335.4222803</v>
      </c>
    </row>
    <row r="129">
      <c r="A129" s="23" t="s">
        <v>170</v>
      </c>
      <c r="B129" s="24" t="s">
        <v>27</v>
      </c>
      <c r="C129" s="35">
        <v>66.9</v>
      </c>
      <c r="D129" s="26">
        <v>74.131</v>
      </c>
      <c r="E129" s="27">
        <v>0.727</v>
      </c>
      <c r="F129" s="28">
        <v>5379.589473025855</v>
      </c>
      <c r="G129" s="29" t="s">
        <v>42</v>
      </c>
      <c r="H129" s="24" t="s">
        <v>36</v>
      </c>
      <c r="I129" s="11">
        <v>6.95606982421875</v>
      </c>
      <c r="J129" s="12">
        <v>2.39786214080968</v>
      </c>
      <c r="K129" s="12">
        <v>1.78350890638115</v>
      </c>
      <c r="L129" s="12">
        <v>0.808379951958358</v>
      </c>
      <c r="M129" s="12">
        <v>0.00671691261485046</v>
      </c>
      <c r="N129" s="12">
        <v>0.128742649071894</v>
      </c>
      <c r="O129" s="12">
        <v>0.427148532596934</v>
      </c>
      <c r="P129" s="36">
        <v>5.55235909343286</v>
      </c>
      <c r="Q129" s="12">
        <v>0.689373085659922</v>
      </c>
      <c r="R129" s="12">
        <v>0.829807057696237</v>
      </c>
      <c r="S129" s="12">
        <v>0.829867395580199</v>
      </c>
      <c r="T129" s="12">
        <v>0.00930114148561475</v>
      </c>
      <c r="U129" s="12">
        <v>0.128742649071894</v>
      </c>
      <c r="V129" s="12">
        <v>0.582858477682416</v>
      </c>
      <c r="W129" s="37">
        <v>3.06994980717628</v>
      </c>
      <c r="X129" s="12">
        <v>2.39786214080968</v>
      </c>
      <c r="Y129" s="12">
        <v>2.19151614441759</v>
      </c>
      <c r="Z129" s="12">
        <v>5.29613737466994</v>
      </c>
      <c r="AA129" s="12">
        <v>0.0495274636813149</v>
      </c>
      <c r="AB129" s="12">
        <v>0.128742649071894</v>
      </c>
      <c r="AC129" s="38">
        <v>10.0637857726504</v>
      </c>
      <c r="AD129" s="21">
        <v>6.99383596547412</v>
      </c>
      <c r="AE129" s="12">
        <v>1.9397849842673687</v>
      </c>
      <c r="AF129" s="12">
        <v>0.30504920082055537</v>
      </c>
      <c r="AG129" s="34">
        <f t="shared" si="1"/>
        <v>188.1651848</v>
      </c>
    </row>
    <row r="130">
      <c r="A130" s="23" t="s">
        <v>171</v>
      </c>
      <c r="B130" s="24" t="s">
        <v>27</v>
      </c>
      <c r="C130" s="35">
        <v>71.1</v>
      </c>
      <c r="D130" s="26">
        <v>76.516</v>
      </c>
      <c r="E130" s="27">
        <v>0.771</v>
      </c>
      <c r="F130" s="28">
        <v>6439.653101787837</v>
      </c>
      <c r="G130" s="29" t="s">
        <v>42</v>
      </c>
      <c r="H130" s="24" t="s">
        <v>32</v>
      </c>
      <c r="I130" s="11">
        <v>31.9893007812499</v>
      </c>
      <c r="J130" s="12">
        <v>0.330647257931528</v>
      </c>
      <c r="K130" s="12">
        <v>0.482691394019849</v>
      </c>
      <c r="L130" s="12">
        <v>0.107475825578135</v>
      </c>
      <c r="M130" s="12">
        <v>0.565315534233808</v>
      </c>
      <c r="N130" s="12">
        <v>0.0808847036396942</v>
      </c>
      <c r="O130" s="12">
        <v>0.5785837808678</v>
      </c>
      <c r="P130" s="36">
        <v>2.14559849627081</v>
      </c>
      <c r="Q130" s="12">
        <v>0.497538245340064</v>
      </c>
      <c r="R130" s="12">
        <v>0.469493455112944</v>
      </c>
      <c r="S130" s="12">
        <v>0.16583349547003</v>
      </c>
      <c r="T130" s="12">
        <v>0.464201059938227</v>
      </c>
      <c r="U130" s="12">
        <v>0.0808847036396942</v>
      </c>
      <c r="V130" s="12">
        <v>0.679496139668991</v>
      </c>
      <c r="W130" s="37">
        <v>2.35744709916995</v>
      </c>
      <c r="X130" s="12">
        <v>0.330647257931528</v>
      </c>
      <c r="Y130" s="12">
        <v>0.482691394019849</v>
      </c>
      <c r="Z130" s="12">
        <v>2.51177334086768</v>
      </c>
      <c r="AA130" s="12">
        <v>0.190246216362057</v>
      </c>
      <c r="AB130" s="12">
        <v>0.0808847036396942</v>
      </c>
      <c r="AC130" s="38">
        <v>3.59624291282081</v>
      </c>
      <c r="AD130" s="21">
        <v>1.2387958136508601</v>
      </c>
      <c r="AE130" s="12">
        <v>1.4895815148133307</v>
      </c>
      <c r="AF130" s="12">
        <v>0.6555305512777008</v>
      </c>
      <c r="AG130" s="34">
        <f t="shared" si="1"/>
        <v>245.0352642</v>
      </c>
    </row>
    <row r="131">
      <c r="A131" s="23" t="s">
        <v>172</v>
      </c>
      <c r="B131" s="24" t="s">
        <v>27</v>
      </c>
      <c r="C131" s="35">
        <v>64.5</v>
      </c>
      <c r="D131" s="26">
        <v>71.095</v>
      </c>
      <c r="E131" s="27">
        <v>0.711</v>
      </c>
      <c r="F131" s="28">
        <v>3187.9682328341974</v>
      </c>
      <c r="G131" s="29" t="s">
        <v>45</v>
      </c>
      <c r="H131" s="24" t="s">
        <v>36</v>
      </c>
      <c r="I131" s="11">
        <v>106.651</v>
      </c>
      <c r="J131" s="12">
        <v>0.304242828960303</v>
      </c>
      <c r="K131" s="12">
        <v>0.00447940366155396</v>
      </c>
      <c r="L131" s="12">
        <v>0.0661191602076112</v>
      </c>
      <c r="M131" s="12">
        <v>0.202044701342645</v>
      </c>
      <c r="N131" s="12">
        <v>0.0572334568047765</v>
      </c>
      <c r="O131" s="12">
        <v>0.447010806049251</v>
      </c>
      <c r="P131" s="36">
        <v>1.08113035702614</v>
      </c>
      <c r="Q131" s="12">
        <v>0.42272363325313</v>
      </c>
      <c r="R131" s="12">
        <v>0.0379949298478956</v>
      </c>
      <c r="S131" s="12">
        <v>0.108938910041868</v>
      </c>
      <c r="T131" s="12">
        <v>0.208882587582866</v>
      </c>
      <c r="U131" s="12">
        <v>0.0572334568047765</v>
      </c>
      <c r="V131" s="12">
        <v>0.632082537597717</v>
      </c>
      <c r="W131" s="37">
        <v>1.46785605512825</v>
      </c>
      <c r="X131" s="12">
        <v>0.304242828960302</v>
      </c>
      <c r="Y131" s="12">
        <v>0.0144412203159643</v>
      </c>
      <c r="Z131" s="12">
        <v>0.0774864399066242</v>
      </c>
      <c r="AA131" s="12">
        <v>0.0612239990443499</v>
      </c>
      <c r="AB131" s="12">
        <v>0.0572334568047765</v>
      </c>
      <c r="AC131" s="38">
        <v>0.514627945032017</v>
      </c>
      <c r="AD131" s="17">
        <v>-0.953228110096233</v>
      </c>
      <c r="AE131" s="12">
        <v>0.9274826344547521</v>
      </c>
      <c r="AF131" s="12">
        <v>2.852266514669989</v>
      </c>
      <c r="AG131" s="39" t="str">
        <f t="shared" si="1"/>
        <v/>
      </c>
    </row>
    <row r="132">
      <c r="A132" s="23" t="s">
        <v>173</v>
      </c>
      <c r="B132" s="24" t="s">
        <v>27</v>
      </c>
      <c r="C132" s="35">
        <v>80.2</v>
      </c>
      <c r="D132" s="26">
        <v>77.6024</v>
      </c>
      <c r="E132" s="27">
        <v>0.877</v>
      </c>
      <c r="F132" s="28">
        <v>16665.96277476253</v>
      </c>
      <c r="G132" s="29" t="s">
        <v>47</v>
      </c>
      <c r="H132" s="24" t="s">
        <v>40</v>
      </c>
      <c r="I132" s="11">
        <v>37.9216015624999</v>
      </c>
      <c r="J132" s="12">
        <v>0.819506745874958</v>
      </c>
      <c r="K132" s="12">
        <v>0.0713135352294788</v>
      </c>
      <c r="L132" s="12">
        <v>0.810039492347984</v>
      </c>
      <c r="M132" s="12">
        <v>0.0263801138131971</v>
      </c>
      <c r="N132" s="12">
        <v>0.102389561187448</v>
      </c>
      <c r="O132" s="12">
        <v>2.88559131930917</v>
      </c>
      <c r="P132" s="36">
        <v>4.71522076776224</v>
      </c>
      <c r="Q132" s="12">
        <v>0.643771093656372</v>
      </c>
      <c r="R132" s="12">
        <v>0.0229085625259396</v>
      </c>
      <c r="S132" s="12">
        <v>0.899150005579552</v>
      </c>
      <c r="T132" s="12">
        <v>0.0696290060318673</v>
      </c>
      <c r="U132" s="12">
        <v>0.102389561187448</v>
      </c>
      <c r="V132" s="12">
        <v>3.01689750147998</v>
      </c>
      <c r="W132" s="37">
        <v>4.75474573046116</v>
      </c>
      <c r="X132" s="12">
        <v>0.819506745874958</v>
      </c>
      <c r="Y132" s="12">
        <v>0.0713135352294788</v>
      </c>
      <c r="Z132" s="12">
        <v>0.781963067460149</v>
      </c>
      <c r="AA132" s="12">
        <v>0.108252144515201</v>
      </c>
      <c r="AB132" s="12">
        <v>0.102389561187448</v>
      </c>
      <c r="AC132" s="38">
        <v>1.88342505426724</v>
      </c>
      <c r="AD132" s="17">
        <v>-2.87132067619392</v>
      </c>
      <c r="AE132" s="12">
        <v>3.0043437030787694</v>
      </c>
      <c r="AF132" s="12">
        <v>2.524520803038286</v>
      </c>
      <c r="AG132" s="34">
        <f t="shared" si="1"/>
        <v>121.4907601</v>
      </c>
    </row>
    <row r="133">
      <c r="A133" s="23" t="s">
        <v>174</v>
      </c>
      <c r="B133" s="24" t="s">
        <v>27</v>
      </c>
      <c r="C133" s="35">
        <v>78.6</v>
      </c>
      <c r="D133" s="26">
        <v>81.3244</v>
      </c>
      <c r="E133" s="27">
        <v>0.86</v>
      </c>
      <c r="F133" s="28">
        <v>24180.495239683998</v>
      </c>
      <c r="G133" s="29" t="s">
        <v>47</v>
      </c>
      <c r="H133" s="24" t="s">
        <v>40</v>
      </c>
      <c r="I133" s="11">
        <v>10.2562001953125</v>
      </c>
      <c r="J133" s="12">
        <v>0.244691772284701</v>
      </c>
      <c r="K133" s="12">
        <v>0.0905149970394996</v>
      </c>
      <c r="L133" s="12">
        <v>0.907199520071583</v>
      </c>
      <c r="M133" s="12">
        <v>0.217497831362169</v>
      </c>
      <c r="N133" s="12">
        <v>0.0276427268651105</v>
      </c>
      <c r="O133" s="12">
        <v>1.69857235333461</v>
      </c>
      <c r="P133" s="36">
        <v>3.18611920095767</v>
      </c>
      <c r="Q133" s="12">
        <v>0.8324974699971</v>
      </c>
      <c r="R133" s="12">
        <v>0.352087721928419</v>
      </c>
      <c r="S133" s="12">
        <v>0.407803804158932</v>
      </c>
      <c r="T133" s="12">
        <v>0.35821989577968</v>
      </c>
      <c r="U133" s="12">
        <v>0.0276427268651105</v>
      </c>
      <c r="V133" s="12">
        <v>2.57344674439583</v>
      </c>
      <c r="W133" s="37">
        <v>4.55169836312507</v>
      </c>
      <c r="X133" s="12">
        <v>0.244691772284701</v>
      </c>
      <c r="Y133" s="12">
        <v>0.0905149970394996</v>
      </c>
      <c r="Z133" s="12">
        <v>0.855697435162337</v>
      </c>
      <c r="AA133" s="12">
        <v>0.0751765610432712</v>
      </c>
      <c r="AB133" s="12">
        <v>0.0276427268651105</v>
      </c>
      <c r="AC133" s="38">
        <v>1.29372349239492</v>
      </c>
      <c r="AD133" s="17">
        <v>-3.2579748707301497</v>
      </c>
      <c r="AE133" s="12">
        <v>2.876045763701107</v>
      </c>
      <c r="AF133" s="12">
        <v>3.518293043205886</v>
      </c>
      <c r="AG133" s="34">
        <f t="shared" si="1"/>
        <v>126.9103589</v>
      </c>
    </row>
    <row r="134">
      <c r="A134" s="23" t="s">
        <v>175</v>
      </c>
      <c r="B134" s="24" t="s">
        <v>27</v>
      </c>
      <c r="C134" s="35">
        <v>66.7</v>
      </c>
      <c r="D134" s="26">
        <v>80.1</v>
      </c>
      <c r="E134" s="27">
        <v>0.845</v>
      </c>
      <c r="F134" s="28">
        <v>63990.1082706583</v>
      </c>
      <c r="G134" s="29" t="s">
        <v>28</v>
      </c>
      <c r="H134" s="24" t="s">
        <v>40</v>
      </c>
      <c r="I134" s="11">
        <v>2.78167993164061</v>
      </c>
      <c r="J134" s="12">
        <v>0.0071146081436553096</v>
      </c>
      <c r="K134" s="12">
        <v>6.5789479186884E-5</v>
      </c>
      <c r="L134" s="12">
        <v>6.93647141827972E-4</v>
      </c>
      <c r="M134" s="12">
        <v>0.0758230371754671</v>
      </c>
      <c r="N134" s="12">
        <v>0.0491230207212639</v>
      </c>
      <c r="O134" s="12">
        <v>11.8103776827719</v>
      </c>
      <c r="P134" s="36">
        <v>11.9431977854333</v>
      </c>
      <c r="Q134" s="12">
        <v>0.706292671221089</v>
      </c>
      <c r="R134" s="12">
        <v>0.34224876713946</v>
      </c>
      <c r="S134" s="12">
        <v>0.190356804103611</v>
      </c>
      <c r="T134" s="12">
        <v>0.159984587146816</v>
      </c>
      <c r="U134" s="12">
        <v>0.0491230207212639</v>
      </c>
      <c r="V134" s="12">
        <v>12.8229477436623</v>
      </c>
      <c r="W134" s="37">
        <v>14.2709535939946</v>
      </c>
      <c r="X134" s="12">
        <v>0.0071146081436553</v>
      </c>
      <c r="Y134" s="12">
        <v>6.5789479186884E-5</v>
      </c>
      <c r="Z134" s="12">
        <v>0.0</v>
      </c>
      <c r="AA134" s="12">
        <v>0.86404971828195</v>
      </c>
      <c r="AB134" s="12">
        <v>0.0491230207212639</v>
      </c>
      <c r="AC134" s="38">
        <v>0.920353136626056</v>
      </c>
      <c r="AD134" s="17">
        <v>-13.350600457368543</v>
      </c>
      <c r="AE134" s="12">
        <v>9.017274949608842</v>
      </c>
      <c r="AF134" s="12">
        <v>15.505954210479274</v>
      </c>
      <c r="AG134" s="34">
        <f t="shared" si="1"/>
        <v>40.47786078</v>
      </c>
    </row>
    <row r="135">
      <c r="A135" s="23" t="s">
        <v>176</v>
      </c>
      <c r="B135" s="24" t="s">
        <v>27</v>
      </c>
      <c r="C135" s="35">
        <v>73.7</v>
      </c>
      <c r="D135" s="26">
        <v>71.808</v>
      </c>
      <c r="E135" s="27">
        <v>0.746</v>
      </c>
      <c r="F135" s="28">
        <v>2355.723465310615</v>
      </c>
      <c r="G135" s="29" t="s">
        <v>31</v>
      </c>
      <c r="H135" s="24" t="s">
        <v>36</v>
      </c>
      <c r="I135" s="11">
        <v>4.05193994140624</v>
      </c>
      <c r="J135" s="12">
        <v>1.03196987856975</v>
      </c>
      <c r="K135" s="12">
        <v>0.0587882715535499</v>
      </c>
      <c r="L135" s="12">
        <v>0.121494300996538</v>
      </c>
      <c r="M135" s="12">
        <v>3.86807853238413E-5</v>
      </c>
      <c r="N135" s="12">
        <v>0.0654304466158183</v>
      </c>
      <c r="O135" s="12">
        <v>0.708268426461973</v>
      </c>
      <c r="P135" s="36">
        <v>1.98599000498295</v>
      </c>
      <c r="Q135" s="12">
        <v>0.539242190978059</v>
      </c>
      <c r="R135" s="12">
        <v>0.0607838071369128</v>
      </c>
      <c r="S135" s="12">
        <v>0.193669692584361</v>
      </c>
      <c r="T135" s="12">
        <v>0.0503111968325541</v>
      </c>
      <c r="U135" s="12">
        <v>0.0654304466158183</v>
      </c>
      <c r="V135" s="12">
        <v>0.959221426448363</v>
      </c>
      <c r="W135" s="37">
        <v>1.86865876059607</v>
      </c>
      <c r="X135" s="12">
        <v>1.03196987856975</v>
      </c>
      <c r="Y135" s="12">
        <v>0.0587882715535499</v>
      </c>
      <c r="Z135" s="12">
        <v>0.0808262970269826</v>
      </c>
      <c r="AA135" s="12">
        <v>0.00867791889725312</v>
      </c>
      <c r="AB135" s="12">
        <v>0.0654304466158183</v>
      </c>
      <c r="AC135" s="38">
        <v>1.24569281266335</v>
      </c>
      <c r="AD135" s="17">
        <v>-0.6229659479327201</v>
      </c>
      <c r="AE135" s="12">
        <v>1.180734680433747</v>
      </c>
      <c r="AF135" s="12">
        <v>1.5000959639485993</v>
      </c>
      <c r="AG135" s="34">
        <f t="shared" si="1"/>
        <v>309.1295666</v>
      </c>
    </row>
    <row r="136">
      <c r="A136" s="23" t="s">
        <v>177</v>
      </c>
      <c r="B136" s="24" t="s">
        <v>27</v>
      </c>
      <c r="C136" s="35">
        <v>72.5</v>
      </c>
      <c r="D136" s="26">
        <v>75.688</v>
      </c>
      <c r="E136" s="27">
        <v>0.77</v>
      </c>
      <c r="F136" s="28">
        <v>5452.001100822315</v>
      </c>
      <c r="G136" s="29" t="s">
        <v>31</v>
      </c>
      <c r="H136" s="24" t="s">
        <v>32</v>
      </c>
      <c r="I136" s="11">
        <v>2.08295996093749</v>
      </c>
      <c r="J136" s="12">
        <v>0.413879318292201</v>
      </c>
      <c r="K136" s="12">
        <v>0.153601712573525</v>
      </c>
      <c r="L136" s="12">
        <v>0.1636174981256</v>
      </c>
      <c r="M136" s="12">
        <v>3.96097906789061E-4</v>
      </c>
      <c r="N136" s="12">
        <v>0.0269217982027032</v>
      </c>
      <c r="O136" s="12">
        <v>1.26477893367413</v>
      </c>
      <c r="P136" s="36">
        <v>2.02319535877495</v>
      </c>
      <c r="Q136" s="12">
        <v>0.659995779818413</v>
      </c>
      <c r="R136" s="12">
        <v>0.2336608984362</v>
      </c>
      <c r="S136" s="12">
        <v>0.307379944866914</v>
      </c>
      <c r="T136" s="12">
        <v>0.0327637370243962</v>
      </c>
      <c r="U136" s="12">
        <v>0.0269217982027032</v>
      </c>
      <c r="V136" s="12">
        <v>1.83687952489486</v>
      </c>
      <c r="W136" s="37">
        <v>3.09760168324349</v>
      </c>
      <c r="X136" s="12">
        <v>0.413879318292201</v>
      </c>
      <c r="Y136" s="12">
        <v>0.153601712573525</v>
      </c>
      <c r="Z136" s="12">
        <v>0.889261896378682</v>
      </c>
      <c r="AA136" s="12">
        <v>0.00946678798997814</v>
      </c>
      <c r="AB136" s="12">
        <v>0.0269217982027032</v>
      </c>
      <c r="AC136" s="38">
        <v>1.49313151343709</v>
      </c>
      <c r="AD136" s="17">
        <v>-1.6044701698064</v>
      </c>
      <c r="AE136" s="12">
        <v>1.9572571572184088</v>
      </c>
      <c r="AF136" s="12">
        <v>2.0745672135155835</v>
      </c>
      <c r="AG136" s="34">
        <f t="shared" si="1"/>
        <v>186.4854593</v>
      </c>
    </row>
    <row r="137">
      <c r="A137" s="23" t="s">
        <v>178</v>
      </c>
      <c r="B137" s="24" t="s">
        <v>38</v>
      </c>
      <c r="C137" s="25" t="s">
        <v>103</v>
      </c>
      <c r="D137" s="40" t="s">
        <v>103</v>
      </c>
      <c r="E137" s="41" t="s">
        <v>103</v>
      </c>
      <c r="F137" s="42" t="s">
        <v>103</v>
      </c>
      <c r="G137" s="29" t="s">
        <v>34</v>
      </c>
      <c r="H137" s="29"/>
      <c r="I137" s="11">
        <v>0.882526000976561</v>
      </c>
      <c r="J137" s="30"/>
      <c r="K137" s="30"/>
      <c r="L137" s="30"/>
      <c r="M137" s="30"/>
      <c r="N137" s="30"/>
      <c r="O137" s="30"/>
      <c r="P137" s="36">
        <v>2.14491612292662</v>
      </c>
      <c r="Q137" s="30"/>
      <c r="R137" s="30"/>
      <c r="S137" s="30"/>
      <c r="T137" s="30"/>
      <c r="U137" s="30"/>
      <c r="V137" s="30"/>
      <c r="W137" s="37">
        <v>4.59353837442126</v>
      </c>
      <c r="X137" s="30"/>
      <c r="Y137" s="30"/>
      <c r="Z137" s="30"/>
      <c r="AA137" s="30"/>
      <c r="AB137" s="30"/>
      <c r="AC137" s="38">
        <v>0.174215295341021</v>
      </c>
      <c r="AD137" s="17">
        <v>-4.419323079080239</v>
      </c>
      <c r="AE137" s="12">
        <v>2.9024828818143114</v>
      </c>
      <c r="AF137" s="12">
        <v>26.36702113571344</v>
      </c>
      <c r="AG137" s="34">
        <f t="shared" si="1"/>
        <v>125.7544023</v>
      </c>
    </row>
    <row r="138">
      <c r="A138" s="23" t="s">
        <v>179</v>
      </c>
      <c r="B138" s="24" t="s">
        <v>27</v>
      </c>
      <c r="C138" s="35">
        <v>75.0</v>
      </c>
      <c r="D138" s="26">
        <v>75.3585</v>
      </c>
      <c r="E138" s="27">
        <v>0.823</v>
      </c>
      <c r="F138" s="28">
        <v>11534.853430762852</v>
      </c>
      <c r="G138" s="29" t="s">
        <v>47</v>
      </c>
      <c r="H138" s="24" t="s">
        <v>32</v>
      </c>
      <c r="I138" s="11">
        <v>19.5060996093749</v>
      </c>
      <c r="J138" s="12">
        <v>1.56744843078898</v>
      </c>
      <c r="K138" s="12">
        <v>0.134990406764952</v>
      </c>
      <c r="L138" s="12">
        <v>0.478648727256102</v>
      </c>
      <c r="M138" s="12">
        <v>0.00101803406294078</v>
      </c>
      <c r="N138" s="12">
        <v>0.190782581877218</v>
      </c>
      <c r="O138" s="12">
        <v>1.36767198146814</v>
      </c>
      <c r="P138" s="36">
        <v>3.74056016221833</v>
      </c>
      <c r="Q138" s="12">
        <v>1.04682165708287</v>
      </c>
      <c r="R138" s="12">
        <v>0.0855837502377435</v>
      </c>
      <c r="S138" s="12">
        <v>0.555566110397378</v>
      </c>
      <c r="T138" s="12">
        <v>0.0425779125873944</v>
      </c>
      <c r="U138" s="12">
        <v>0.190782581877218</v>
      </c>
      <c r="V138" s="12">
        <v>1.66305298121437</v>
      </c>
      <c r="W138" s="37">
        <v>3.58438499339697</v>
      </c>
      <c r="X138" s="12">
        <v>1.56744843078898</v>
      </c>
      <c r="Y138" s="12">
        <v>0.134990406764952</v>
      </c>
      <c r="Z138" s="12">
        <v>1.19320338971518</v>
      </c>
      <c r="AA138" s="12">
        <v>0.0918162827920211</v>
      </c>
      <c r="AB138" s="12">
        <v>0.190782581877218</v>
      </c>
      <c r="AC138" s="38">
        <v>3.17824109193835</v>
      </c>
      <c r="AD138" s="17">
        <v>-0.4061439014586199</v>
      </c>
      <c r="AE138" s="12">
        <v>2.2648370900956194</v>
      </c>
      <c r="AF138" s="12">
        <v>1.1277888900526802</v>
      </c>
      <c r="AG138" s="34">
        <f t="shared" si="1"/>
        <v>161.1594943</v>
      </c>
    </row>
    <row r="139">
      <c r="A139" s="23" t="s">
        <v>180</v>
      </c>
      <c r="B139" s="24" t="s">
        <v>27</v>
      </c>
      <c r="C139" s="35">
        <v>73.8</v>
      </c>
      <c r="D139" s="26">
        <v>72.6622</v>
      </c>
      <c r="E139" s="27">
        <v>0.823</v>
      </c>
      <c r="F139" s="28">
        <v>11939.561118201738</v>
      </c>
      <c r="G139" s="29" t="s">
        <v>31</v>
      </c>
      <c r="H139" s="24" t="s">
        <v>32</v>
      </c>
      <c r="I139" s="11">
        <v>145.73399999999899</v>
      </c>
      <c r="J139" s="12">
        <v>0.993399224092578</v>
      </c>
      <c r="K139" s="12">
        <v>0.0212927560192908</v>
      </c>
      <c r="L139" s="12">
        <v>1.08806980611248</v>
      </c>
      <c r="M139" s="12">
        <v>0.289734828636057</v>
      </c>
      <c r="N139" s="12">
        <v>0.039187934991867</v>
      </c>
      <c r="O139" s="12">
        <v>3.99531064081377</v>
      </c>
      <c r="P139" s="36">
        <v>6.42699519066605</v>
      </c>
      <c r="Q139" s="12">
        <v>0.639638510105321</v>
      </c>
      <c r="R139" s="12">
        <v>0.0912045813887174</v>
      </c>
      <c r="S139" s="12">
        <v>0.745655958587947</v>
      </c>
      <c r="T139" s="12">
        <v>0.18908012271916</v>
      </c>
      <c r="U139" s="12">
        <v>0.039187934991867</v>
      </c>
      <c r="V139" s="12">
        <v>3.60586758618207</v>
      </c>
      <c r="W139" s="37">
        <v>5.31063469397508</v>
      </c>
      <c r="X139" s="12">
        <v>0.993399224092578</v>
      </c>
      <c r="Y139" s="12">
        <v>0.33244884690102</v>
      </c>
      <c r="Z139" s="12">
        <v>4.18532947152863</v>
      </c>
      <c r="AA139" s="12">
        <v>1.16516947277751</v>
      </c>
      <c r="AB139" s="12">
        <v>0.039187934991867</v>
      </c>
      <c r="AC139" s="38">
        <v>6.7155349502916</v>
      </c>
      <c r="AD139" s="21">
        <v>1.4049002563165196</v>
      </c>
      <c r="AE139" s="12">
        <v>3.3555888803854543</v>
      </c>
      <c r="AF139" s="12">
        <v>0.7907984595842932</v>
      </c>
      <c r="AG139" s="34">
        <f t="shared" si="1"/>
        <v>108.7737542</v>
      </c>
    </row>
    <row r="140">
      <c r="A140" s="23" t="s">
        <v>181</v>
      </c>
      <c r="B140" s="24" t="s">
        <v>27</v>
      </c>
      <c r="C140" s="35">
        <v>57.6</v>
      </c>
      <c r="D140" s="26">
        <v>68.7</v>
      </c>
      <c r="E140" s="27">
        <v>0.54</v>
      </c>
      <c r="F140" s="28">
        <v>845.3991220939754</v>
      </c>
      <c r="G140" s="29" t="s">
        <v>34</v>
      </c>
      <c r="H140" s="24" t="s">
        <v>29</v>
      </c>
      <c r="I140" s="11">
        <v>12.3019999999999</v>
      </c>
      <c r="J140" s="12">
        <v>0.289002803935113</v>
      </c>
      <c r="K140" s="12">
        <v>0.0475004454722262</v>
      </c>
      <c r="L140" s="12">
        <v>0.22165363907631</v>
      </c>
      <c r="M140" s="12">
        <v>0.00240735990666248</v>
      </c>
      <c r="N140" s="12">
        <v>0.0428401243125141</v>
      </c>
      <c r="O140" s="12">
        <v>0.0370417066709113</v>
      </c>
      <c r="P140" s="36">
        <v>0.640446079373737</v>
      </c>
      <c r="Q140" s="12">
        <v>0.323964027580119</v>
      </c>
      <c r="R140" s="12">
        <v>0.0433151995706909</v>
      </c>
      <c r="S140" s="12">
        <v>0.225008699624614</v>
      </c>
      <c r="T140" s="12">
        <v>0.021299333583403</v>
      </c>
      <c r="U140" s="12">
        <v>0.0428401243125141</v>
      </c>
      <c r="V140" s="12">
        <v>0.102909096437313</v>
      </c>
      <c r="W140" s="37">
        <v>0.759336481108654</v>
      </c>
      <c r="X140" s="12">
        <v>0.289002803935113</v>
      </c>
      <c r="Y140" s="12">
        <v>0.0475004454722262</v>
      </c>
      <c r="Z140" s="12">
        <v>0.0075188604312394</v>
      </c>
      <c r="AA140" s="12">
        <v>0.00494796998441564</v>
      </c>
      <c r="AB140" s="12">
        <v>0.0428401243125141</v>
      </c>
      <c r="AC140" s="38">
        <v>0.391810204135508</v>
      </c>
      <c r="AD140" s="17">
        <v>-0.36752627697314605</v>
      </c>
      <c r="AE140" s="12">
        <v>0.479795956473894</v>
      </c>
      <c r="AF140" s="12">
        <v>1.9380211977481747</v>
      </c>
      <c r="AG140" s="39" t="str">
        <f t="shared" si="1"/>
        <v/>
      </c>
    </row>
    <row r="141">
      <c r="A141" s="23" t="s">
        <v>182</v>
      </c>
      <c r="B141" s="24" t="s">
        <v>27</v>
      </c>
      <c r="C141" s="25"/>
      <c r="D141" s="26">
        <v>76.057</v>
      </c>
      <c r="E141" s="27">
        <v>0.758</v>
      </c>
      <c r="F141" s="28">
        <v>9237.391651436337</v>
      </c>
      <c r="G141" s="29" t="s">
        <v>39</v>
      </c>
      <c r="H141" s="24" t="s">
        <v>32</v>
      </c>
      <c r="I141" s="11">
        <v>0.181889007568359</v>
      </c>
      <c r="J141" s="12">
        <v>0.081443677001357</v>
      </c>
      <c r="K141" s="12">
        <v>0.00149471723794831</v>
      </c>
      <c r="L141" s="12">
        <v>0.0196798028167367</v>
      </c>
      <c r="M141" s="12">
        <v>0.159746379157658</v>
      </c>
      <c r="N141" s="12">
        <v>0.00189035661091451</v>
      </c>
      <c r="O141" s="12">
        <v>0.664919605307138</v>
      </c>
      <c r="P141" s="36">
        <v>0.929174538131752</v>
      </c>
      <c r="Q141" s="12">
        <v>0.451205468672395</v>
      </c>
      <c r="R141" s="12">
        <v>0.160333659445442</v>
      </c>
      <c r="S141" s="12">
        <v>0.0789054257170625</v>
      </c>
      <c r="T141" s="12">
        <v>0.219222122077069</v>
      </c>
      <c r="U141" s="12">
        <v>0.00189035661091451</v>
      </c>
      <c r="V141" s="12">
        <v>1.35222920307108</v>
      </c>
      <c r="W141" s="37">
        <v>2.26378623559396</v>
      </c>
      <c r="X141" s="12">
        <v>0.081443677001357</v>
      </c>
      <c r="Y141" s="12">
        <v>0.00149471723794831</v>
      </c>
      <c r="Z141" s="12">
        <v>0.0949394602519323</v>
      </c>
      <c r="AA141" s="12">
        <v>0.140704970091453</v>
      </c>
      <c r="AB141" s="12">
        <v>0.00189035661091451</v>
      </c>
      <c r="AC141" s="38">
        <v>0.320473181193606</v>
      </c>
      <c r="AD141" s="17">
        <v>-1.9433130544003538</v>
      </c>
      <c r="AE141" s="12">
        <v>1.43040076327351</v>
      </c>
      <c r="AF141" s="12">
        <v>7.063886678949117</v>
      </c>
      <c r="AG141" s="34">
        <f t="shared" si="1"/>
        <v>255.1732419</v>
      </c>
    </row>
    <row r="142">
      <c r="A142" s="23" t="s">
        <v>183</v>
      </c>
      <c r="B142" s="24" t="s">
        <v>38</v>
      </c>
      <c r="C142" s="25"/>
      <c r="D142" s="26">
        <v>73.187</v>
      </c>
      <c r="E142" s="27">
        <v>0.709</v>
      </c>
      <c r="F142" s="28">
        <v>3753.968093695815</v>
      </c>
      <c r="G142" s="29" t="s">
        <v>45</v>
      </c>
      <c r="H142" s="24" t="s">
        <v>36</v>
      </c>
      <c r="I142" s="11">
        <v>0.196128997802734</v>
      </c>
      <c r="J142" s="30"/>
      <c r="K142" s="30"/>
      <c r="L142" s="30"/>
      <c r="M142" s="30"/>
      <c r="N142" s="30"/>
      <c r="O142" s="30"/>
      <c r="P142" s="36">
        <v>1.48721731491201</v>
      </c>
      <c r="Q142" s="30"/>
      <c r="R142" s="30"/>
      <c r="S142" s="30"/>
      <c r="T142" s="30"/>
      <c r="U142" s="30"/>
      <c r="V142" s="30"/>
      <c r="W142" s="37">
        <v>2.65161383078762</v>
      </c>
      <c r="X142" s="30"/>
      <c r="Y142" s="30"/>
      <c r="Z142" s="30"/>
      <c r="AA142" s="30"/>
      <c r="AB142" s="30"/>
      <c r="AC142" s="38">
        <v>1.74377934883538</v>
      </c>
      <c r="AD142" s="17">
        <v>-0.9078344819522397</v>
      </c>
      <c r="AE142" s="12">
        <v>1.675454328606276</v>
      </c>
      <c r="AF142" s="12">
        <v>1.5206131627597013</v>
      </c>
      <c r="AG142" s="34">
        <f t="shared" si="1"/>
        <v>217.8513576</v>
      </c>
    </row>
    <row r="143">
      <c r="A143" s="23" t="s">
        <v>184</v>
      </c>
      <c r="B143" s="24" t="s">
        <v>38</v>
      </c>
      <c r="C143" s="35">
        <v>58.8</v>
      </c>
      <c r="D143" s="26">
        <v>70.17</v>
      </c>
      <c r="E143" s="27">
        <v>0.624</v>
      </c>
      <c r="F143" s="28">
        <v>1296.7473518125394</v>
      </c>
      <c r="G143" s="29" t="s">
        <v>34</v>
      </c>
      <c r="H143" s="24" t="s">
        <v>36</v>
      </c>
      <c r="I143" s="11">
        <v>0.211027999877928</v>
      </c>
      <c r="J143" s="30"/>
      <c r="K143" s="30"/>
      <c r="L143" s="30"/>
      <c r="M143" s="30"/>
      <c r="N143" s="30"/>
      <c r="O143" s="30"/>
      <c r="P143" s="36">
        <v>0.952368578194114</v>
      </c>
      <c r="Q143" s="30"/>
      <c r="R143" s="30"/>
      <c r="S143" s="30"/>
      <c r="T143" s="30"/>
      <c r="U143" s="30"/>
      <c r="V143" s="30"/>
      <c r="W143" s="37">
        <v>1.28480353016925</v>
      </c>
      <c r="X143" s="30"/>
      <c r="Y143" s="30"/>
      <c r="Z143" s="30"/>
      <c r="AA143" s="30"/>
      <c r="AB143" s="30"/>
      <c r="AC143" s="38">
        <v>0.772470531960801</v>
      </c>
      <c r="AD143" s="17">
        <v>-0.512332998208449</v>
      </c>
      <c r="AE143" s="12">
        <v>0.8118186785106976</v>
      </c>
      <c r="AF143" s="12">
        <v>1.663239537316677</v>
      </c>
      <c r="AG143" s="39" t="str">
        <f t="shared" si="1"/>
        <v/>
      </c>
    </row>
    <row r="144">
      <c r="A144" s="23" t="s">
        <v>185</v>
      </c>
      <c r="B144" s="24" t="s">
        <v>27</v>
      </c>
      <c r="C144" s="35">
        <v>66.3</v>
      </c>
      <c r="D144" s="26">
        <v>74.998</v>
      </c>
      <c r="E144" s="27">
        <v>0.854</v>
      </c>
      <c r="F144" s="28">
        <v>20829.12944109227</v>
      </c>
      <c r="G144" s="29" t="s">
        <v>28</v>
      </c>
      <c r="H144" s="24" t="s">
        <v>40</v>
      </c>
      <c r="I144" s="11">
        <v>33.702800781249906</v>
      </c>
      <c r="J144" s="12">
        <v>0.0668188673733406</v>
      </c>
      <c r="K144" s="12">
        <v>0.0490915938385557</v>
      </c>
      <c r="L144" s="12">
        <v>0.00337080037487851</v>
      </c>
      <c r="M144" s="12">
        <v>0.02630916386703</v>
      </c>
      <c r="N144" s="12">
        <v>0.0386001786526062</v>
      </c>
      <c r="O144" s="12">
        <v>5.64199271726381</v>
      </c>
      <c r="P144" s="36">
        <v>5.82618332137022</v>
      </c>
      <c r="Q144" s="12">
        <v>0.646579725235858</v>
      </c>
      <c r="R144" s="12">
        <v>0.170916425925699</v>
      </c>
      <c r="S144" s="12">
        <v>0.169133575711802</v>
      </c>
      <c r="T144" s="12">
        <v>0.061169837950912</v>
      </c>
      <c r="U144" s="12">
        <v>0.0386001786526062</v>
      </c>
      <c r="V144" s="12">
        <v>3.86902671658319</v>
      </c>
      <c r="W144" s="37">
        <v>4.95542646006006</v>
      </c>
      <c r="X144" s="12">
        <v>0.0668188673733406</v>
      </c>
      <c r="Y144" s="12">
        <v>0.0999399219778904</v>
      </c>
      <c r="Z144" s="12">
        <v>0.0534492120149432</v>
      </c>
      <c r="AA144" s="12">
        <v>0.150009672002236</v>
      </c>
      <c r="AB144" s="12">
        <v>0.0386001786526062</v>
      </c>
      <c r="AC144" s="38">
        <v>0.408817852021017</v>
      </c>
      <c r="AD144" s="17">
        <v>-4.546608608039043</v>
      </c>
      <c r="AE144" s="12">
        <v>3.131146253725623</v>
      </c>
      <c r="AF144" s="12">
        <v>12.121355355600532</v>
      </c>
      <c r="AG144" s="34">
        <f t="shared" si="1"/>
        <v>116.5707286</v>
      </c>
    </row>
    <row r="145">
      <c r="A145" s="23" t="s">
        <v>186</v>
      </c>
      <c r="B145" s="24" t="s">
        <v>27</v>
      </c>
      <c r="C145" s="35">
        <v>58.4</v>
      </c>
      <c r="D145" s="26">
        <v>67.665</v>
      </c>
      <c r="E145" s="27">
        <v>0.516</v>
      </c>
      <c r="F145" s="28">
        <v>1547.1008055964805</v>
      </c>
      <c r="G145" s="29" t="s">
        <v>34</v>
      </c>
      <c r="H145" s="24" t="s">
        <v>36</v>
      </c>
      <c r="I145" s="11">
        <v>15.854299804687399</v>
      </c>
      <c r="J145" s="12">
        <v>0.375897013537491</v>
      </c>
      <c r="K145" s="12">
        <v>0.151517282869433</v>
      </c>
      <c r="L145" s="12">
        <v>0.168885455425487</v>
      </c>
      <c r="M145" s="12">
        <v>0.206170701982045</v>
      </c>
      <c r="N145" s="12">
        <v>0.0532554782297855</v>
      </c>
      <c r="O145" s="12">
        <v>0.215154526302707</v>
      </c>
      <c r="P145" s="36">
        <v>1.17088045834695</v>
      </c>
      <c r="Q145" s="12">
        <v>0.560649896728969</v>
      </c>
      <c r="R145" s="12">
        <v>0.18234324243993</v>
      </c>
      <c r="S145" s="12">
        <v>0.182695896059647</v>
      </c>
      <c r="T145" s="12">
        <v>0.109171462659201</v>
      </c>
      <c r="U145" s="12">
        <v>0.0532554782297855</v>
      </c>
      <c r="V145" s="12">
        <v>0.323906605554624</v>
      </c>
      <c r="W145" s="37">
        <v>1.41202258167216</v>
      </c>
      <c r="X145" s="12">
        <v>0.375897013537491</v>
      </c>
      <c r="Y145" s="12">
        <v>0.151517282869433</v>
      </c>
      <c r="Z145" s="12">
        <v>0.379301454267158</v>
      </c>
      <c r="AA145" s="12">
        <v>0.148697437197523</v>
      </c>
      <c r="AB145" s="12">
        <v>0.0532554782297855</v>
      </c>
      <c r="AC145" s="38">
        <v>1.10866866610139</v>
      </c>
      <c r="AD145" s="17">
        <v>-0.30335391557077007</v>
      </c>
      <c r="AE145" s="12">
        <v>0.8922035777169379</v>
      </c>
      <c r="AF145" s="12">
        <v>1.273619995627285</v>
      </c>
      <c r="AG145" s="39" t="str">
        <f t="shared" si="1"/>
        <v/>
      </c>
    </row>
    <row r="146">
      <c r="A146" s="23" t="s">
        <v>187</v>
      </c>
      <c r="B146" s="24" t="s">
        <v>27</v>
      </c>
      <c r="C146" s="35">
        <v>75.6</v>
      </c>
      <c r="D146" s="26">
        <v>75.8902</v>
      </c>
      <c r="E146" s="27">
        <v>0.803</v>
      </c>
      <c r="F146" s="28">
        <v>5471.835505949833</v>
      </c>
      <c r="G146" s="29" t="s">
        <v>31</v>
      </c>
      <c r="H146" s="24" t="s">
        <v>32</v>
      </c>
      <c r="I146" s="11">
        <v>8.802750000000021</v>
      </c>
      <c r="J146" s="12">
        <v>1.10691058471083</v>
      </c>
      <c r="K146" s="12">
        <v>0.017902985327501</v>
      </c>
      <c r="L146" s="12">
        <v>0.392321835471957</v>
      </c>
      <c r="M146" s="12">
        <v>0.00186669695494389</v>
      </c>
      <c r="N146" s="12">
        <v>0.0789518312938996</v>
      </c>
      <c r="O146" s="12">
        <v>1.75726723855961</v>
      </c>
      <c r="P146" s="36">
        <v>3.35522117231874</v>
      </c>
      <c r="Q146" s="12">
        <v>0.752455762176445</v>
      </c>
      <c r="R146" s="12">
        <v>0.0359642475480458</v>
      </c>
      <c r="S146" s="12">
        <v>0.493796566024745</v>
      </c>
      <c r="T146" s="12">
        <v>0.031768449771072</v>
      </c>
      <c r="U146" s="12">
        <v>0.0789518312938996</v>
      </c>
      <c r="V146" s="12">
        <v>1.67757563056144</v>
      </c>
      <c r="W146" s="37">
        <v>3.07051248737564</v>
      </c>
      <c r="X146" s="12">
        <v>1.10691058471083</v>
      </c>
      <c r="Y146" s="12">
        <v>0.017902985327501</v>
      </c>
      <c r="Z146" s="12">
        <v>0.473197481195397</v>
      </c>
      <c r="AA146" s="12">
        <v>0.00356509487153461</v>
      </c>
      <c r="AB146" s="12">
        <v>0.0789518312938996</v>
      </c>
      <c r="AC146" s="38">
        <v>1.68052797739916</v>
      </c>
      <c r="AD146" s="17">
        <v>-1.3899845099764803</v>
      </c>
      <c r="AE146" s="12">
        <v>1.9401405205693345</v>
      </c>
      <c r="AF146" s="12">
        <v>1.8271117938349744</v>
      </c>
      <c r="AG146" s="34">
        <f t="shared" si="1"/>
        <v>188.130703</v>
      </c>
    </row>
    <row r="147">
      <c r="A147" s="23" t="s">
        <v>188</v>
      </c>
      <c r="B147" s="24" t="s">
        <v>27</v>
      </c>
      <c r="C147" s="35">
        <v>51.7</v>
      </c>
      <c r="D147" s="26">
        <v>54.309</v>
      </c>
      <c r="E147" s="27">
        <v>0.447</v>
      </c>
      <c r="F147" s="28">
        <v>472.8260290549115</v>
      </c>
      <c r="G147" s="29" t="s">
        <v>34</v>
      </c>
      <c r="H147" s="24" t="s">
        <v>29</v>
      </c>
      <c r="I147" s="11">
        <v>7.6501499023437205</v>
      </c>
      <c r="J147" s="12">
        <v>0.364908925468646</v>
      </c>
      <c r="K147" s="12">
        <v>0.0780382132530986</v>
      </c>
      <c r="L147" s="12">
        <v>0.321208498731971</v>
      </c>
      <c r="M147" s="12">
        <v>0.0893408581148673</v>
      </c>
      <c r="N147" s="12">
        <v>0.0511780069780807</v>
      </c>
      <c r="O147" s="12">
        <v>0.0678155837586456</v>
      </c>
      <c r="P147" s="36">
        <v>0.972490086305308</v>
      </c>
      <c r="Q147" s="12">
        <v>0.451785392212729</v>
      </c>
      <c r="R147" s="12">
        <v>0.0948799975140118</v>
      </c>
      <c r="S147" s="12">
        <v>0.309805909603765</v>
      </c>
      <c r="T147" s="12">
        <v>0.0896129034657725</v>
      </c>
      <c r="U147" s="12">
        <v>0.0511780069780807</v>
      </c>
      <c r="V147" s="12">
        <v>0.136433838601537</v>
      </c>
      <c r="W147" s="37">
        <v>1.1336960483759</v>
      </c>
      <c r="X147" s="12">
        <v>0.364908925468645</v>
      </c>
      <c r="Y147" s="12">
        <v>0.276401922121723</v>
      </c>
      <c r="Z147" s="12">
        <v>0.130214078796866</v>
      </c>
      <c r="AA147" s="12">
        <v>0.175295482473941</v>
      </c>
      <c r="AB147" s="12">
        <v>0.0511780069780807</v>
      </c>
      <c r="AC147" s="38">
        <v>0.997998415839256</v>
      </c>
      <c r="AD147" s="17">
        <v>-0.13569763253664402</v>
      </c>
      <c r="AE147" s="12">
        <v>0.7163395851691678</v>
      </c>
      <c r="AF147" s="12">
        <v>1.135969787509663</v>
      </c>
      <c r="AG147" s="39" t="str">
        <f t="shared" si="1"/>
        <v/>
      </c>
    </row>
    <row r="148">
      <c r="A148" s="23" t="s">
        <v>189</v>
      </c>
      <c r="B148" s="24" t="s">
        <v>27</v>
      </c>
      <c r="C148" s="35">
        <v>69.9</v>
      </c>
      <c r="D148" s="26">
        <v>83.2976</v>
      </c>
      <c r="E148" s="27">
        <v>0.936</v>
      </c>
      <c r="F148" s="28">
        <v>57837.603126356924</v>
      </c>
      <c r="G148" s="29" t="s">
        <v>45</v>
      </c>
      <c r="H148" s="24" t="s">
        <v>40</v>
      </c>
      <c r="I148" s="11">
        <v>5.7575</v>
      </c>
      <c r="J148" s="12">
        <v>8.462422300833E-4</v>
      </c>
      <c r="K148" s="12">
        <v>0.0</v>
      </c>
      <c r="L148" s="12">
        <v>0.00188192271946639</v>
      </c>
      <c r="M148" s="12">
        <v>0.00182573898900779</v>
      </c>
      <c r="N148" s="12">
        <v>0.0412272547967222</v>
      </c>
      <c r="O148" s="12">
        <v>3.19990613065152</v>
      </c>
      <c r="P148" s="36">
        <v>3.2456872893868</v>
      </c>
      <c r="Q148" s="12">
        <v>0.621485666535708</v>
      </c>
      <c r="R148" s="12">
        <v>0.242581396711579</v>
      </c>
      <c r="S148" s="12">
        <v>0.207203040976331</v>
      </c>
      <c r="T148" s="12">
        <v>0.197772046984763</v>
      </c>
      <c r="U148" s="12">
        <v>0.0412272547967222</v>
      </c>
      <c r="V148" s="12">
        <v>4.62121654779847</v>
      </c>
      <c r="W148" s="37">
        <v>5.93148595380357</v>
      </c>
      <c r="X148" s="12">
        <v>8.462422300833E-4</v>
      </c>
      <c r="Y148" s="12">
        <v>0.0</v>
      </c>
      <c r="Z148" s="12">
        <v>0.00218018449286498</v>
      </c>
      <c r="AA148" s="12">
        <v>0.0124438660236191</v>
      </c>
      <c r="AB148" s="12">
        <v>0.0412272547967222</v>
      </c>
      <c r="AC148" s="38">
        <v>0.0566975475432896</v>
      </c>
      <c r="AD148" s="17">
        <v>-5.87478840626028</v>
      </c>
      <c r="AE148" s="12">
        <v>3.7478812717670924</v>
      </c>
      <c r="AF148" s="12">
        <v>104.61627020595155</v>
      </c>
      <c r="AG148" s="34">
        <f t="shared" si="1"/>
        <v>97.38835719</v>
      </c>
    </row>
    <row r="149">
      <c r="A149" s="23" t="s">
        <v>190</v>
      </c>
      <c r="B149" s="24" t="s">
        <v>27</v>
      </c>
      <c r="C149" s="35">
        <v>79.6</v>
      </c>
      <c r="D149" s="26">
        <v>77.2659</v>
      </c>
      <c r="E149" s="27">
        <v>0.858</v>
      </c>
      <c r="F149" s="28">
        <v>20539.115977021003</v>
      </c>
      <c r="G149" s="29" t="s">
        <v>47</v>
      </c>
      <c r="H149" s="24" t="s">
        <v>40</v>
      </c>
      <c r="I149" s="11">
        <v>5.453009765625</v>
      </c>
      <c r="J149" s="12">
        <v>0.806989411948195</v>
      </c>
      <c r="K149" s="12">
        <v>0.05176962585855</v>
      </c>
      <c r="L149" s="12">
        <v>1.19165127385747</v>
      </c>
      <c r="M149" s="12">
        <v>0.00157546584093345</v>
      </c>
      <c r="N149" s="12">
        <v>0.117866414135452</v>
      </c>
      <c r="O149" s="12">
        <v>2.28084044676891</v>
      </c>
      <c r="P149" s="36">
        <v>4.45069263840951</v>
      </c>
      <c r="Q149" s="12">
        <v>0.590597937211497</v>
      </c>
      <c r="R149" s="12">
        <v>0.183111747396982</v>
      </c>
      <c r="S149" s="12">
        <v>0.89300063825203</v>
      </c>
      <c r="T149" s="12">
        <v>0.0424439313922312</v>
      </c>
      <c r="U149" s="12">
        <v>0.117866414135452</v>
      </c>
      <c r="V149" s="12">
        <v>2.9044437775978</v>
      </c>
      <c r="W149" s="37">
        <v>4.73146444598599</v>
      </c>
      <c r="X149" s="12">
        <v>0.806989411948195</v>
      </c>
      <c r="Y149" s="12">
        <v>0.0535297220175272</v>
      </c>
      <c r="Z149" s="12">
        <v>1.81078572285744</v>
      </c>
      <c r="AA149" s="12">
        <v>0.00218573640180496</v>
      </c>
      <c r="AB149" s="12">
        <v>0.117866414135452</v>
      </c>
      <c r="AC149" s="38">
        <v>2.79135700736042</v>
      </c>
      <c r="AD149" s="17">
        <v>-1.9401074386255703</v>
      </c>
      <c r="AE149" s="12">
        <v>2.9896331413836488</v>
      </c>
      <c r="AF149" s="12">
        <v>1.6950409544568383</v>
      </c>
      <c r="AG149" s="34">
        <f t="shared" si="1"/>
        <v>122.0885583</v>
      </c>
    </row>
    <row r="150">
      <c r="A150" s="23" t="s">
        <v>191</v>
      </c>
      <c r="B150" s="24" t="s">
        <v>27</v>
      </c>
      <c r="C150" s="35">
        <v>81.6</v>
      </c>
      <c r="D150" s="26">
        <v>81.3781</v>
      </c>
      <c r="E150" s="27">
        <v>0.912</v>
      </c>
      <c r="F150" s="28">
        <v>26709.658901778537</v>
      </c>
      <c r="G150" s="29" t="s">
        <v>47</v>
      </c>
      <c r="H150" s="24" t="s">
        <v>40</v>
      </c>
      <c r="I150" s="11">
        <v>2.0778400878906202</v>
      </c>
      <c r="J150" s="12">
        <v>0.247437839952857</v>
      </c>
      <c r="K150" s="12">
        <v>0.0603136683844674</v>
      </c>
      <c r="L150" s="12">
        <v>1.51254338266769</v>
      </c>
      <c r="M150" s="12">
        <v>0.00122796912099909</v>
      </c>
      <c r="N150" s="12">
        <v>0.0825072922283914</v>
      </c>
      <c r="O150" s="12">
        <v>2.37475336222867</v>
      </c>
      <c r="P150" s="36">
        <v>4.27878351458307</v>
      </c>
      <c r="Q150" s="12">
        <v>0.619900471231751</v>
      </c>
      <c r="R150" s="12">
        <v>0.192604581194695</v>
      </c>
      <c r="S150" s="12">
        <v>1.11926842887018</v>
      </c>
      <c r="T150" s="12">
        <v>0.0493406081852661</v>
      </c>
      <c r="U150" s="12">
        <v>0.0825072922283914</v>
      </c>
      <c r="V150" s="12">
        <v>3.30257934050944</v>
      </c>
      <c r="W150" s="37">
        <v>5.36620072221973</v>
      </c>
      <c r="X150" s="12">
        <v>0.247437839952856</v>
      </c>
      <c r="Y150" s="12">
        <v>0.0603136683844674</v>
      </c>
      <c r="Z150" s="12">
        <v>1.80485867786897</v>
      </c>
      <c r="AA150" s="12">
        <v>0.00431410634076879</v>
      </c>
      <c r="AB150" s="12">
        <v>0.0825072922283914</v>
      </c>
      <c r="AC150" s="38">
        <v>2.19943158477546</v>
      </c>
      <c r="AD150" s="17">
        <v>-3.16676913744427</v>
      </c>
      <c r="AE150" s="12">
        <v>3.3906989486257846</v>
      </c>
      <c r="AF150" s="12">
        <v>2.439812522182892</v>
      </c>
      <c r="AG150" s="34">
        <f t="shared" si="1"/>
        <v>107.6474218</v>
      </c>
    </row>
    <row r="151">
      <c r="A151" s="23" t="s">
        <v>192</v>
      </c>
      <c r="B151" s="24" t="s">
        <v>56</v>
      </c>
      <c r="C151" s="25"/>
      <c r="D151" s="26">
        <v>72.835</v>
      </c>
      <c r="E151" s="27">
        <v>0.564</v>
      </c>
      <c r="F151" s="28">
        <v>1773.6962451604008</v>
      </c>
      <c r="G151" s="29" t="s">
        <v>45</v>
      </c>
      <c r="H151" s="24" t="s">
        <v>29</v>
      </c>
      <c r="I151" s="11">
        <v>0.652856994628909</v>
      </c>
      <c r="J151" s="12">
        <v>0.348453109934861</v>
      </c>
      <c r="K151" s="12">
        <v>0.005552469371648</v>
      </c>
      <c r="L151" s="12">
        <v>3.47930269753881</v>
      </c>
      <c r="M151" s="12">
        <v>2.58163737208474</v>
      </c>
      <c r="N151" s="12">
        <v>0.131497254219835</v>
      </c>
      <c r="O151" s="12">
        <v>0.106280968643458</v>
      </c>
      <c r="P151" s="36">
        <v>6.65272387179335</v>
      </c>
      <c r="Q151" s="12">
        <v>0.38798544244174</v>
      </c>
      <c r="R151" s="12">
        <v>0.0420164166325957</v>
      </c>
      <c r="S151" s="12">
        <v>0.0782015219037017</v>
      </c>
      <c r="T151" s="12">
        <v>1.07650575611469</v>
      </c>
      <c r="U151" s="12">
        <v>0.131497254219835</v>
      </c>
      <c r="V151" s="12">
        <v>0.055498669806322</v>
      </c>
      <c r="W151" s="37">
        <v>1.77170506111888</v>
      </c>
      <c r="X151" s="12">
        <v>0.348453109934861</v>
      </c>
      <c r="Y151" s="12">
        <v>0.005552469371648</v>
      </c>
      <c r="Z151" s="12">
        <v>2.13751521294526</v>
      </c>
      <c r="AA151" s="12">
        <v>1.00550163691536</v>
      </c>
      <c r="AB151" s="12">
        <v>0.131497254219835</v>
      </c>
      <c r="AC151" s="38">
        <v>3.62851968338697</v>
      </c>
      <c r="AD151" s="21">
        <v>1.85681462226809</v>
      </c>
      <c r="AE151" s="12">
        <v>1.1194733106304378</v>
      </c>
      <c r="AF151" s="12">
        <v>0.4882721373210568</v>
      </c>
      <c r="AG151" s="34">
        <f t="shared" si="1"/>
        <v>326.0461831</v>
      </c>
    </row>
    <row r="152">
      <c r="A152" s="23" t="s">
        <v>193</v>
      </c>
      <c r="B152" s="24" t="s">
        <v>27</v>
      </c>
      <c r="C152" s="35">
        <v>45.6</v>
      </c>
      <c r="D152" s="26">
        <v>57.068</v>
      </c>
      <c r="E152" s="41" t="s">
        <v>103</v>
      </c>
      <c r="F152" s="28" t="s">
        <v>88</v>
      </c>
      <c r="G152" s="29" t="s">
        <v>34</v>
      </c>
      <c r="H152" s="24" t="s">
        <v>29</v>
      </c>
      <c r="I152" s="11">
        <v>15.0082001953126</v>
      </c>
      <c r="J152" s="12">
        <v>0.0396739228567964</v>
      </c>
      <c r="K152" s="12">
        <v>0.383808446611211</v>
      </c>
      <c r="L152" s="12">
        <v>0.397199402081706</v>
      </c>
      <c r="M152" s="12">
        <v>0.00303406187014142</v>
      </c>
      <c r="N152" s="12">
        <v>0.0294696486974349</v>
      </c>
      <c r="O152" s="12">
        <v>0.0155005302699479</v>
      </c>
      <c r="P152" s="36">
        <v>0.868686012387237</v>
      </c>
      <c r="Q152" s="12">
        <v>0.166265637957404</v>
      </c>
      <c r="R152" s="12">
        <v>0.370405330577345</v>
      </c>
      <c r="S152" s="12">
        <v>0.409204312128538</v>
      </c>
      <c r="T152" s="12">
        <v>0.00385507623988079</v>
      </c>
      <c r="U152" s="12">
        <v>0.0294696486974349</v>
      </c>
      <c r="V152" s="12">
        <v>0.0368216836446526</v>
      </c>
      <c r="W152" s="37">
        <v>1.01602168924525</v>
      </c>
      <c r="X152" s="12">
        <v>0.0396739228567964</v>
      </c>
      <c r="Y152" s="12">
        <v>0.383808446611211</v>
      </c>
      <c r="Z152" s="12">
        <v>0.137961192181951</v>
      </c>
      <c r="AA152" s="12">
        <v>0.22705379606094</v>
      </c>
      <c r="AB152" s="12">
        <v>0.0294696486974349</v>
      </c>
      <c r="AC152" s="38">
        <v>0.817967006408333</v>
      </c>
      <c r="AD152" s="17">
        <v>-0.19805468283691707</v>
      </c>
      <c r="AE152" s="12">
        <v>0.6419856154914436</v>
      </c>
      <c r="AF152" s="12">
        <v>1.242130405365088</v>
      </c>
      <c r="AG152" s="39" t="str">
        <f t="shared" si="1"/>
        <v/>
      </c>
    </row>
    <row r="153">
      <c r="A153" s="23" t="s">
        <v>194</v>
      </c>
      <c r="B153" s="24" t="s">
        <v>27</v>
      </c>
      <c r="C153" s="35">
        <v>63.7</v>
      </c>
      <c r="D153" s="40" t="s">
        <v>103</v>
      </c>
      <c r="E153" s="27">
        <v>0.707</v>
      </c>
      <c r="F153" s="28">
        <v>7440.41181814248</v>
      </c>
      <c r="G153" s="29" t="s">
        <v>34</v>
      </c>
      <c r="H153" s="24" t="s">
        <v>32</v>
      </c>
      <c r="I153" s="11">
        <v>57.792500000000096</v>
      </c>
      <c r="J153" s="12">
        <v>0.253768314312397</v>
      </c>
      <c r="K153" s="12">
        <v>0.138960974153438</v>
      </c>
      <c r="L153" s="12">
        <v>0.26768225175628</v>
      </c>
      <c r="M153" s="12">
        <v>0.0742921973490269</v>
      </c>
      <c r="N153" s="12">
        <v>0.0337104320311333</v>
      </c>
      <c r="O153" s="12">
        <v>2.62168067179087</v>
      </c>
      <c r="P153" s="36">
        <v>3.39009484139315</v>
      </c>
      <c r="Q153" s="12">
        <v>0.304365507753241</v>
      </c>
      <c r="R153" s="12">
        <v>0.0850696562218619</v>
      </c>
      <c r="S153" s="12">
        <v>0.221165863424323</v>
      </c>
      <c r="T153" s="12">
        <v>0.084178679711011</v>
      </c>
      <c r="U153" s="12">
        <v>0.0337104320311333</v>
      </c>
      <c r="V153" s="12">
        <v>3.07197210757971</v>
      </c>
      <c r="W153" s="37">
        <v>3.80046224672128</v>
      </c>
      <c r="X153" s="12">
        <v>0.253768314312397</v>
      </c>
      <c r="Y153" s="12">
        <v>0.522085434853397</v>
      </c>
      <c r="Z153" s="12">
        <v>0.0328443777117092</v>
      </c>
      <c r="AA153" s="12">
        <v>0.153766845801791</v>
      </c>
      <c r="AB153" s="12">
        <v>0.0337104320311333</v>
      </c>
      <c r="AC153" s="38">
        <v>0.996175404710427</v>
      </c>
      <c r="AD153" s="17">
        <v>-2.804286842010853</v>
      </c>
      <c r="AE153" s="12">
        <v>2.401368120818157</v>
      </c>
      <c r="AF153" s="12">
        <v>3.8150532815312945</v>
      </c>
      <c r="AG153" s="34">
        <f t="shared" si="1"/>
        <v>151.9966876</v>
      </c>
    </row>
    <row r="154">
      <c r="A154" s="23" t="s">
        <v>195</v>
      </c>
      <c r="B154" s="24" t="s">
        <v>27</v>
      </c>
      <c r="C154" s="35">
        <v>38.9</v>
      </c>
      <c r="D154" s="26">
        <v>57.604</v>
      </c>
      <c r="E154" s="27">
        <v>0.429</v>
      </c>
      <c r="F154" s="43" t="s">
        <v>88</v>
      </c>
      <c r="G154" s="29" t="s">
        <v>34</v>
      </c>
      <c r="H154" s="24" t="s">
        <v>36</v>
      </c>
      <c r="I154" s="11">
        <v>10.975900390625</v>
      </c>
      <c r="J154" s="12">
        <v>0.252910000706849</v>
      </c>
      <c r="K154" s="12">
        <v>1.0640019720713</v>
      </c>
      <c r="L154" s="12">
        <v>0.162049935311633</v>
      </c>
      <c r="M154" s="12">
        <v>0.00443920582495242</v>
      </c>
      <c r="N154" s="12">
        <v>0.0438069439872292</v>
      </c>
      <c r="O154" s="12">
        <v>0.0481100271443588</v>
      </c>
      <c r="P154" s="36">
        <v>1.57531808504632</v>
      </c>
      <c r="Q154" s="12">
        <v>0.289898005485423</v>
      </c>
      <c r="R154" s="12">
        <v>1.06483629968125</v>
      </c>
      <c r="S154" s="12">
        <v>0.160479058578156</v>
      </c>
      <c r="T154" s="12">
        <v>0.00458767415661609</v>
      </c>
      <c r="U154" s="12">
        <v>0.0438069439872292</v>
      </c>
      <c r="V154" s="12">
        <v>0.0481100271443588</v>
      </c>
      <c r="W154" s="37">
        <v>1.61171800903303</v>
      </c>
      <c r="X154" s="12">
        <v>0.252910000706849</v>
      </c>
      <c r="Y154" s="12">
        <v>1.0640019720713</v>
      </c>
      <c r="Z154" s="12">
        <v>0.361423440923404</v>
      </c>
      <c r="AA154" s="12">
        <v>0.00657009862047538</v>
      </c>
      <c r="AB154" s="12">
        <v>0.0438069439872292</v>
      </c>
      <c r="AC154" s="38">
        <v>1.72871245630925</v>
      </c>
      <c r="AD154" s="21">
        <v>0.11699444727621988</v>
      </c>
      <c r="AE154" s="12">
        <v>1.0183835532057774</v>
      </c>
      <c r="AF154" s="12">
        <v>0.9323227834396476</v>
      </c>
      <c r="AG154" s="34">
        <f t="shared" si="1"/>
        <v>358.4111299</v>
      </c>
    </row>
    <row r="155">
      <c r="A155" s="23" t="s">
        <v>196</v>
      </c>
      <c r="B155" s="24" t="s">
        <v>27</v>
      </c>
      <c r="C155" s="35">
        <v>79.5</v>
      </c>
      <c r="D155" s="26">
        <v>83.4317</v>
      </c>
      <c r="E155" s="27">
        <v>0.905</v>
      </c>
      <c r="F155" s="28">
        <v>32981.46081167656</v>
      </c>
      <c r="G155" s="29" t="s">
        <v>47</v>
      </c>
      <c r="H155" s="24" t="s">
        <v>40</v>
      </c>
      <c r="I155" s="11">
        <v>46.6928984375</v>
      </c>
      <c r="J155" s="12">
        <v>0.977625810565878</v>
      </c>
      <c r="K155" s="12">
        <v>0.132164411362159</v>
      </c>
      <c r="L155" s="12">
        <v>0.258047520930538</v>
      </c>
      <c r="M155" s="12">
        <v>0.371291442675504</v>
      </c>
      <c r="N155" s="12">
        <v>0.0647081352416866</v>
      </c>
      <c r="O155" s="12">
        <v>1.92181930912021</v>
      </c>
      <c r="P155" s="36">
        <v>3.72565662989597</v>
      </c>
      <c r="Q155" s="12">
        <v>1.13221860542084</v>
      </c>
      <c r="R155" s="12">
        <v>0.161367595005233</v>
      </c>
      <c r="S155" s="12">
        <v>0.298313005065874</v>
      </c>
      <c r="T155" s="12">
        <v>0.348837481120003</v>
      </c>
      <c r="U155" s="12">
        <v>0.0647081352416866</v>
      </c>
      <c r="V155" s="12">
        <v>2.38604638427917</v>
      </c>
      <c r="W155" s="37">
        <v>4.39149120613281</v>
      </c>
      <c r="X155" s="12">
        <v>0.977625810565878</v>
      </c>
      <c r="Y155" s="12">
        <v>0.132164411362159</v>
      </c>
      <c r="Z155" s="12">
        <v>0.302175492230112</v>
      </c>
      <c r="AA155" s="12">
        <v>0.0585810865080432</v>
      </c>
      <c r="AB155" s="12">
        <v>0.0647081352416866</v>
      </c>
      <c r="AC155" s="38">
        <v>1.53525493590788</v>
      </c>
      <c r="AD155" s="17">
        <v>-2.8562362702249295</v>
      </c>
      <c r="AE155" s="12">
        <v>2.7748169303243193</v>
      </c>
      <c r="AF155" s="12">
        <v>2.8604312569989436</v>
      </c>
      <c r="AG155" s="34">
        <f t="shared" si="1"/>
        <v>131.5402094</v>
      </c>
    </row>
    <row r="156">
      <c r="A156" s="23" t="s">
        <v>197</v>
      </c>
      <c r="B156" s="24" t="s">
        <v>27</v>
      </c>
      <c r="C156" s="35">
        <v>68.1</v>
      </c>
      <c r="D156" s="26">
        <v>76.812</v>
      </c>
      <c r="E156" s="27">
        <v>0.779</v>
      </c>
      <c r="F156" s="28">
        <v>4028.206815880475</v>
      </c>
      <c r="G156" s="29" t="s">
        <v>45</v>
      </c>
      <c r="H156" s="24" t="s">
        <v>36</v>
      </c>
      <c r="I156" s="11">
        <v>21.22880078125</v>
      </c>
      <c r="J156" s="12">
        <v>0.270144028809477</v>
      </c>
      <c r="K156" s="12">
        <v>0.00195493218447933</v>
      </c>
      <c r="L156" s="12">
        <v>0.104423562839695</v>
      </c>
      <c r="M156" s="12">
        <v>0.229320181319528</v>
      </c>
      <c r="N156" s="12">
        <v>0.0524122234701586</v>
      </c>
      <c r="O156" s="12">
        <v>0.346308226549227</v>
      </c>
      <c r="P156" s="36">
        <v>1.00456315517257</v>
      </c>
      <c r="Q156" s="12">
        <v>0.365389120051119</v>
      </c>
      <c r="R156" s="12">
        <v>0.0142599387346963</v>
      </c>
      <c r="S156" s="12">
        <v>0.164920674616751</v>
      </c>
      <c r="T156" s="12">
        <v>0.248202778950171</v>
      </c>
      <c r="U156" s="12">
        <v>0.0524122234701586</v>
      </c>
      <c r="V156" s="12">
        <v>0.668001219147438</v>
      </c>
      <c r="W156" s="37">
        <v>1.51318595497033</v>
      </c>
      <c r="X156" s="12">
        <v>0.270144028809477</v>
      </c>
      <c r="Y156" s="12">
        <v>0.0194963781453861</v>
      </c>
      <c r="Z156" s="12">
        <v>0.0438665414178138</v>
      </c>
      <c r="AA156" s="12">
        <v>0.0682495199828065</v>
      </c>
      <c r="AB156" s="12">
        <v>0.0524122234701586</v>
      </c>
      <c r="AC156" s="38">
        <v>0.454168691825642</v>
      </c>
      <c r="AD156" s="17">
        <v>-1.059017263144688</v>
      </c>
      <c r="AE156" s="12">
        <v>0.9561248809326801</v>
      </c>
      <c r="AF156" s="12">
        <v>3.3317707323411248</v>
      </c>
      <c r="AG156" s="39" t="str">
        <f t="shared" si="1"/>
        <v/>
      </c>
    </row>
    <row r="157">
      <c r="A157" s="23" t="s">
        <v>198</v>
      </c>
      <c r="B157" s="24" t="s">
        <v>38</v>
      </c>
      <c r="C157" s="25" t="s">
        <v>103</v>
      </c>
      <c r="D157" s="26">
        <v>73.895</v>
      </c>
      <c r="E157" s="27">
        <v>0.708</v>
      </c>
      <c r="F157" s="28">
        <v>2805.316915716577</v>
      </c>
      <c r="G157" s="29" t="s">
        <v>28</v>
      </c>
      <c r="H157" s="24" t="s">
        <v>36</v>
      </c>
      <c r="I157" s="11">
        <v>4.86297998046873</v>
      </c>
      <c r="J157" s="30"/>
      <c r="K157" s="30"/>
      <c r="L157" s="30"/>
      <c r="M157" s="30"/>
      <c r="N157" s="30"/>
      <c r="O157" s="30"/>
      <c r="P157" s="36">
        <v>0.300103060315039</v>
      </c>
      <c r="Q157" s="30"/>
      <c r="R157" s="30"/>
      <c r="S157" s="30"/>
      <c r="T157" s="30"/>
      <c r="U157" s="30"/>
      <c r="V157" s="30"/>
      <c r="W157" s="37">
        <v>1.14159590324971</v>
      </c>
      <c r="X157" s="30"/>
      <c r="Y157" s="30"/>
      <c r="Z157" s="30"/>
      <c r="AA157" s="30"/>
      <c r="AB157" s="30"/>
      <c r="AC157" s="38">
        <v>0.095924858058625</v>
      </c>
      <c r="AD157" s="17">
        <v>-1.0456710451910851</v>
      </c>
      <c r="AE157" s="12">
        <v>0.7213312041937809</v>
      </c>
      <c r="AF157" s="12">
        <v>11.900939197137175</v>
      </c>
      <c r="AG157" s="39" t="str">
        <f t="shared" si="1"/>
        <v/>
      </c>
    </row>
    <row r="158">
      <c r="A158" s="23" t="s">
        <v>199</v>
      </c>
      <c r="B158" s="24" t="s">
        <v>27</v>
      </c>
      <c r="C158" s="35">
        <v>49.5</v>
      </c>
      <c r="D158" s="26">
        <v>65.095</v>
      </c>
      <c r="E158" s="27">
        <v>0.506</v>
      </c>
      <c r="F158" s="28">
        <v>1589.5984593854364</v>
      </c>
      <c r="G158" s="29" t="s">
        <v>34</v>
      </c>
      <c r="H158" s="24" t="s">
        <v>36</v>
      </c>
      <c r="I158" s="11">
        <v>41.8014999999998</v>
      </c>
      <c r="J158" s="12">
        <v>0.522652612935842</v>
      </c>
      <c r="K158" s="12">
        <v>0.522425496856234</v>
      </c>
      <c r="L158" s="12">
        <v>0.159289858474697</v>
      </c>
      <c r="M158" s="12">
        <v>8.06863001156925E-4</v>
      </c>
      <c r="N158" s="12">
        <v>0.0476004571631652</v>
      </c>
      <c r="O158" s="12">
        <v>0.163997150866794</v>
      </c>
      <c r="P158" s="36">
        <v>1.41677243929789</v>
      </c>
      <c r="Q158" s="12">
        <v>0.538621925741858</v>
      </c>
      <c r="R158" s="12">
        <v>0.511444822634059</v>
      </c>
      <c r="S158" s="12">
        <v>0.16781968678593</v>
      </c>
      <c r="T158" s="12">
        <v>0.00114753604635824</v>
      </c>
      <c r="U158" s="12">
        <v>0.0476004571631652</v>
      </c>
      <c r="V158" s="12">
        <v>0.208603090991195</v>
      </c>
      <c r="W158" s="37">
        <v>1.47523751936257</v>
      </c>
      <c r="X158" s="12">
        <v>0.522652612935842</v>
      </c>
      <c r="Y158" s="12">
        <v>0.522425496856234</v>
      </c>
      <c r="Z158" s="12">
        <v>0.248007643125852</v>
      </c>
      <c r="AA158" s="12">
        <v>0.0210245197093514</v>
      </c>
      <c r="AB158" s="12">
        <v>0.0476004571631652</v>
      </c>
      <c r="AC158" s="38">
        <v>1.36171072979044</v>
      </c>
      <c r="AD158" s="17">
        <v>-0.11352678957212992</v>
      </c>
      <c r="AE158" s="12">
        <v>0.9321467020724603</v>
      </c>
      <c r="AF158" s="12">
        <v>1.0833707094234333</v>
      </c>
      <c r="AG158" s="39" t="str">
        <f t="shared" si="1"/>
        <v/>
      </c>
    </row>
    <row r="159">
      <c r="A159" s="23" t="s">
        <v>200</v>
      </c>
      <c r="B159" s="24" t="s">
        <v>27</v>
      </c>
      <c r="C159" s="35">
        <v>67.0</v>
      </c>
      <c r="D159" s="26">
        <v>71.57</v>
      </c>
      <c r="E159" s="27">
        <v>0.734</v>
      </c>
      <c r="F159" s="28">
        <v>8100.331740316328</v>
      </c>
      <c r="G159" s="29" t="s">
        <v>42</v>
      </c>
      <c r="H159" s="24" t="s">
        <v>32</v>
      </c>
      <c r="I159" s="11">
        <v>0.575989990234375</v>
      </c>
      <c r="J159" s="12">
        <v>0.347700372890879</v>
      </c>
      <c r="K159" s="12">
        <v>0.0248078126940158</v>
      </c>
      <c r="L159" s="12">
        <v>1.36240505716044</v>
      </c>
      <c r="M159" s="12">
        <v>0.356749947741608</v>
      </c>
      <c r="N159" s="12">
        <v>0.0938054706687207</v>
      </c>
      <c r="O159" s="12">
        <v>1.35546225898055</v>
      </c>
      <c r="P159" s="36">
        <v>3.54093092013622</v>
      </c>
      <c r="Q159" s="12">
        <v>0.322577574113272</v>
      </c>
      <c r="R159" s="12">
        <v>0.00194393440462375</v>
      </c>
      <c r="S159" s="12">
        <v>0.741388952925166</v>
      </c>
      <c r="T159" s="12">
        <v>0.248663172021166</v>
      </c>
      <c r="U159" s="12">
        <v>0.0938054706687207</v>
      </c>
      <c r="V159" s="12">
        <v>1.65618794778424</v>
      </c>
      <c r="W159" s="37">
        <v>3.06456705191719</v>
      </c>
      <c r="X159" s="12">
        <v>0.347700372890879</v>
      </c>
      <c r="Y159" s="12">
        <v>0.0248078126940158</v>
      </c>
      <c r="Z159" s="12">
        <v>73.0391852788138</v>
      </c>
      <c r="AA159" s="12">
        <v>6.86802566996908</v>
      </c>
      <c r="AB159" s="12">
        <v>0.0938054706687207</v>
      </c>
      <c r="AC159" s="38">
        <v>80.3735246050365</v>
      </c>
      <c r="AD159" s="21">
        <v>77.3089575531193</v>
      </c>
      <c r="AE159" s="12">
        <v>1.93638382513403</v>
      </c>
      <c r="AF159" s="12">
        <v>0.03812906136662263</v>
      </c>
      <c r="AG159" s="34">
        <f t="shared" si="1"/>
        <v>188.4956873</v>
      </c>
    </row>
    <row r="160">
      <c r="A160" s="23" t="s">
        <v>201</v>
      </c>
      <c r="B160" s="24" t="s">
        <v>27</v>
      </c>
      <c r="C160" s="35">
        <v>85.6</v>
      </c>
      <c r="D160" s="26">
        <v>82.5585</v>
      </c>
      <c r="E160" s="27">
        <v>0.943</v>
      </c>
      <c r="F160" s="28">
        <v>59067.517556382314</v>
      </c>
      <c r="G160" s="29" t="s">
        <v>47</v>
      </c>
      <c r="H160" s="24" t="s">
        <v>40</v>
      </c>
      <c r="I160" s="11">
        <v>9.9716396484375</v>
      </c>
      <c r="J160" s="12">
        <v>0.388176273718079</v>
      </c>
      <c r="K160" s="12">
        <v>0.17319291581157</v>
      </c>
      <c r="L160" s="12">
        <v>5.01040393781239</v>
      </c>
      <c r="M160" s="12">
        <v>0.0660129623957358</v>
      </c>
      <c r="N160" s="12">
        <v>0.0720812161561288</v>
      </c>
      <c r="O160" s="12">
        <v>1.32088427355604</v>
      </c>
      <c r="P160" s="36">
        <v>7.03075157944995</v>
      </c>
      <c r="Q160" s="12">
        <v>0.663205219848152</v>
      </c>
      <c r="R160" s="12">
        <v>0.383629476056116</v>
      </c>
      <c r="S160" s="12">
        <v>1.72135859200906</v>
      </c>
      <c r="T160" s="12">
        <v>0.117643733958309</v>
      </c>
      <c r="U160" s="12">
        <v>0.0720812161561288</v>
      </c>
      <c r="V160" s="12">
        <v>3.31833743442343</v>
      </c>
      <c r="W160" s="37">
        <v>6.27625567245119</v>
      </c>
      <c r="X160" s="12">
        <v>0.388176273718079</v>
      </c>
      <c r="Y160" s="12">
        <v>0.236758316296152</v>
      </c>
      <c r="Z160" s="12">
        <v>6.1715985315099</v>
      </c>
      <c r="AA160" s="12">
        <v>2.09046466093791</v>
      </c>
      <c r="AB160" s="12">
        <v>0.0720812161561288</v>
      </c>
      <c r="AC160" s="38">
        <v>8.95907899861816</v>
      </c>
      <c r="AD160" s="21">
        <v>2.6828233261669707</v>
      </c>
      <c r="AE160" s="12">
        <v>3.9657281960716553</v>
      </c>
      <c r="AF160" s="12">
        <v>0.7005469728996957</v>
      </c>
      <c r="AG160" s="34">
        <f t="shared" si="1"/>
        <v>92.03858206</v>
      </c>
    </row>
    <row r="161">
      <c r="A161" s="23" t="s">
        <v>202</v>
      </c>
      <c r="B161" s="24" t="s">
        <v>27</v>
      </c>
      <c r="C161" s="35">
        <v>80.1</v>
      </c>
      <c r="D161" s="26">
        <v>83.7537</v>
      </c>
      <c r="E161" s="27">
        <v>0.955</v>
      </c>
      <c r="F161" s="28">
        <v>79173.21718512419</v>
      </c>
      <c r="G161" s="29" t="s">
        <v>31</v>
      </c>
      <c r="H161" s="24" t="s">
        <v>40</v>
      </c>
      <c r="I161" s="11">
        <v>8.525610351562491</v>
      </c>
      <c r="J161" s="12">
        <v>0.14420148707879</v>
      </c>
      <c r="K161" s="12">
        <v>0.104567407130239</v>
      </c>
      <c r="L161" s="12">
        <v>0.340452898713344</v>
      </c>
      <c r="M161" s="12">
        <v>0.00211682929257622</v>
      </c>
      <c r="N161" s="12">
        <v>0.0512627463842601</v>
      </c>
      <c r="O161" s="12">
        <v>1.51421003003343</v>
      </c>
      <c r="P161" s="36">
        <v>2.15681139863264</v>
      </c>
      <c r="Q161" s="12">
        <v>0.589137183813361</v>
      </c>
      <c r="R161" s="12">
        <v>0.190850006554634</v>
      </c>
      <c r="S161" s="12">
        <v>0.335532830607855</v>
      </c>
      <c r="T161" s="12">
        <v>0.0656884371643593</v>
      </c>
      <c r="U161" s="12">
        <v>0.0512627463842601</v>
      </c>
      <c r="V161" s="12">
        <v>3.11577893432927</v>
      </c>
      <c r="W161" s="37">
        <v>4.34825013885374</v>
      </c>
      <c r="X161" s="12">
        <v>0.14420148707879</v>
      </c>
      <c r="Y161" s="12">
        <v>0.104567407130239</v>
      </c>
      <c r="Z161" s="12">
        <v>0.68809809460887</v>
      </c>
      <c r="AA161" s="12">
        <v>0.00613069879114166</v>
      </c>
      <c r="AB161" s="12">
        <v>0.0512627463842601</v>
      </c>
      <c r="AC161" s="38">
        <v>0.994260433993301</v>
      </c>
      <c r="AD161" s="17">
        <v>-3.3539897048604392</v>
      </c>
      <c r="AE161" s="12">
        <v>2.747494538011728</v>
      </c>
      <c r="AF161" s="12">
        <v>4.3733512771795935</v>
      </c>
      <c r="AG161" s="34">
        <f t="shared" si="1"/>
        <v>132.8483078</v>
      </c>
    </row>
    <row r="162">
      <c r="A162" s="23" t="s">
        <v>203</v>
      </c>
      <c r="B162" s="24" t="s">
        <v>27</v>
      </c>
      <c r="C162" s="35">
        <v>58.0</v>
      </c>
      <c r="D162" s="26">
        <v>71.779</v>
      </c>
      <c r="E162" s="27">
        <v>0.563</v>
      </c>
      <c r="F162" s="28" t="s">
        <v>88</v>
      </c>
      <c r="G162" s="29" t="s">
        <v>28</v>
      </c>
      <c r="H162" s="24" t="s">
        <v>36</v>
      </c>
      <c r="I162" s="11">
        <v>16.9450996093749</v>
      </c>
      <c r="J162" s="12">
        <v>0.273943466673536</v>
      </c>
      <c r="K162" s="12">
        <v>0.12769224038122</v>
      </c>
      <c r="L162" s="12">
        <v>0.00240415911766709</v>
      </c>
      <c r="M162" s="12">
        <v>7.89911481823861E-4</v>
      </c>
      <c r="N162" s="12">
        <v>0.023485407782155</v>
      </c>
      <c r="O162" s="12">
        <v>0.54192714019398</v>
      </c>
      <c r="P162" s="36">
        <v>0.970242325630382</v>
      </c>
      <c r="Q162" s="12">
        <v>0.376322804156118</v>
      </c>
      <c r="R162" s="12">
        <v>0.0549408215851158</v>
      </c>
      <c r="S162" s="12">
        <v>0.036044189453646</v>
      </c>
      <c r="T162" s="12">
        <v>0.00782357644448896</v>
      </c>
      <c r="U162" s="12">
        <v>0.023485407782155</v>
      </c>
      <c r="V162" s="12">
        <v>0.838387137099273</v>
      </c>
      <c r="W162" s="37">
        <v>1.3370039365208</v>
      </c>
      <c r="X162" s="12">
        <v>0.273943466673536</v>
      </c>
      <c r="Y162" s="12">
        <v>0.12769224038122</v>
      </c>
      <c r="Z162" s="12">
        <v>0.0568074986443405</v>
      </c>
      <c r="AA162" s="12">
        <v>0.00484817432727998</v>
      </c>
      <c r="AB162" s="12">
        <v>0.023485407782155</v>
      </c>
      <c r="AC162" s="38">
        <v>0.486776787808532</v>
      </c>
      <c r="AD162" s="17">
        <v>-0.8502271487122679</v>
      </c>
      <c r="AE162" s="12">
        <v>0.8448021377766091</v>
      </c>
      <c r="AF162" s="12">
        <v>2.7466468615728137</v>
      </c>
      <c r="AG162" s="39" t="str">
        <f t="shared" si="1"/>
        <v/>
      </c>
    </row>
    <row r="163">
      <c r="A163" s="23" t="s">
        <v>204</v>
      </c>
      <c r="B163" s="24" t="s">
        <v>56</v>
      </c>
      <c r="C163" s="35">
        <v>69.8</v>
      </c>
      <c r="D163" s="26">
        <v>70.879</v>
      </c>
      <c r="E163" s="27">
        <v>0.661</v>
      </c>
      <c r="F163" s="28">
        <v>1073.0230007779585</v>
      </c>
      <c r="G163" s="29" t="s">
        <v>28</v>
      </c>
      <c r="H163" s="24" t="s">
        <v>29</v>
      </c>
      <c r="I163" s="11">
        <v>9.100830078125009</v>
      </c>
      <c r="J163" s="12">
        <v>0.249689457675032</v>
      </c>
      <c r="K163" s="12">
        <v>0.121868384900884</v>
      </c>
      <c r="L163" s="12">
        <v>0.152255632887194</v>
      </c>
      <c r="M163" s="12">
        <v>2.29469896709347E-4</v>
      </c>
      <c r="N163" s="12">
        <v>0.0878829565233264</v>
      </c>
      <c r="O163" s="12">
        <v>0.291679761624731</v>
      </c>
      <c r="P163" s="36">
        <v>0.903605663507877</v>
      </c>
      <c r="Q163" s="12">
        <v>0.400579136083043</v>
      </c>
      <c r="R163" s="12">
        <v>0.125396032828221</v>
      </c>
      <c r="S163" s="12">
        <v>0.214265079485744</v>
      </c>
      <c r="T163" s="12">
        <v>0.00207390010533304</v>
      </c>
      <c r="U163" s="12">
        <v>0.0878829565233264</v>
      </c>
      <c r="V163" s="12">
        <v>0.297452623394932</v>
      </c>
      <c r="W163" s="37">
        <v>1.1276497284206</v>
      </c>
      <c r="X163" s="12">
        <v>0.249689457675032</v>
      </c>
      <c r="Y163" s="12">
        <v>0.121868384900884</v>
      </c>
      <c r="Z163" s="12">
        <v>0.00578936752184058</v>
      </c>
      <c r="AA163" s="12">
        <v>0.0103730164431534</v>
      </c>
      <c r="AB163" s="12">
        <v>0.0878829565233264</v>
      </c>
      <c r="AC163" s="38">
        <v>0.475603183064236</v>
      </c>
      <c r="AD163" s="17">
        <v>-0.652046545356364</v>
      </c>
      <c r="AE163" s="12">
        <v>0.7125191446421109</v>
      </c>
      <c r="AF163" s="12">
        <v>2.370988606836757</v>
      </c>
      <c r="AG163" s="39" t="str">
        <f t="shared" si="1"/>
        <v/>
      </c>
    </row>
    <row r="164">
      <c r="A164" s="23" t="s">
        <v>205</v>
      </c>
      <c r="B164" s="24" t="s">
        <v>27</v>
      </c>
      <c r="C164" s="35">
        <v>56.4</v>
      </c>
      <c r="D164" s="26">
        <v>65.015</v>
      </c>
      <c r="E164" s="27">
        <v>0.524</v>
      </c>
      <c r="F164" s="28">
        <v>931.3041204253866</v>
      </c>
      <c r="G164" s="29" t="s">
        <v>34</v>
      </c>
      <c r="H164" s="24" t="s">
        <v>29</v>
      </c>
      <c r="I164" s="11">
        <v>56.3133984374997</v>
      </c>
      <c r="J164" s="12">
        <v>0.444377567606418</v>
      </c>
      <c r="K164" s="12">
        <v>0.285459299408539</v>
      </c>
      <c r="L164" s="12">
        <v>0.201178355223594</v>
      </c>
      <c r="M164" s="12">
        <v>0.0865418041857202</v>
      </c>
      <c r="N164" s="12">
        <v>0.0649640220712573</v>
      </c>
      <c r="O164" s="12">
        <v>0.0682311074207814</v>
      </c>
      <c r="P164" s="36">
        <v>1.15075215591631</v>
      </c>
      <c r="Q164" s="12">
        <v>0.413351827430761</v>
      </c>
      <c r="R164" s="12">
        <v>0.283520092449183</v>
      </c>
      <c r="S164" s="12">
        <v>0.205337604335375</v>
      </c>
      <c r="T164" s="12">
        <v>0.0768688793634451</v>
      </c>
      <c r="U164" s="12">
        <v>0.0649640220712573</v>
      </c>
      <c r="V164" s="12">
        <v>0.128910369191484</v>
      </c>
      <c r="W164" s="37">
        <v>1.17295279484151</v>
      </c>
      <c r="X164" s="12">
        <v>0.444377567606418</v>
      </c>
      <c r="Y164" s="12">
        <v>0.285459299408539</v>
      </c>
      <c r="Z164" s="12">
        <v>0.137477687434075</v>
      </c>
      <c r="AA164" s="12">
        <v>0.0517021829689296</v>
      </c>
      <c r="AB164" s="12">
        <v>0.0649640220712573</v>
      </c>
      <c r="AC164" s="38">
        <v>0.983980759489219</v>
      </c>
      <c r="AD164" s="17">
        <v>-0.1889720353522909</v>
      </c>
      <c r="AE164" s="12">
        <v>0.7411444360977318</v>
      </c>
      <c r="AF164" s="12">
        <v>1.192048506568752</v>
      </c>
      <c r="AG164" s="39" t="str">
        <f t="shared" si="1"/>
        <v/>
      </c>
    </row>
    <row r="165">
      <c r="A165" s="23" t="s">
        <v>206</v>
      </c>
      <c r="B165" s="24" t="s">
        <v>27</v>
      </c>
      <c r="C165" s="35">
        <v>74.2</v>
      </c>
      <c r="D165" s="26">
        <v>76.931</v>
      </c>
      <c r="E165" s="27">
        <v>0.772</v>
      </c>
      <c r="F165" s="28">
        <v>6366.26169368487</v>
      </c>
      <c r="G165" s="29" t="s">
        <v>45</v>
      </c>
      <c r="H165" s="24" t="s">
        <v>32</v>
      </c>
      <c r="I165" s="11">
        <v>69.4285</v>
      </c>
      <c r="J165" s="12">
        <v>0.777926580715887</v>
      </c>
      <c r="K165" s="12">
        <v>9.37356990051759E-4</v>
      </c>
      <c r="L165" s="12">
        <v>0.246512565025729</v>
      </c>
      <c r="M165" s="12">
        <v>0.118769918559108</v>
      </c>
      <c r="N165" s="12">
        <v>0.0686440813940758</v>
      </c>
      <c r="O165" s="12">
        <v>1.2967433660225</v>
      </c>
      <c r="P165" s="36">
        <v>2.50953386870735</v>
      </c>
      <c r="Q165" s="12">
        <v>0.442609515943989</v>
      </c>
      <c r="R165" s="12">
        <v>0.0222665324421519</v>
      </c>
      <c r="S165" s="12">
        <v>0.172701352242342</v>
      </c>
      <c r="T165" s="12">
        <v>0.195614280869685</v>
      </c>
      <c r="U165" s="12">
        <v>0.0686440813940758</v>
      </c>
      <c r="V165" s="12">
        <v>1.45053098015966</v>
      </c>
      <c r="W165" s="37">
        <v>2.3523667430519</v>
      </c>
      <c r="X165" s="12">
        <v>0.777926580715887</v>
      </c>
      <c r="Y165" s="12">
        <v>0.0102567407053492</v>
      </c>
      <c r="Z165" s="12">
        <v>0.22636416456263</v>
      </c>
      <c r="AA165" s="12">
        <v>0.187576188089276</v>
      </c>
      <c r="AB165" s="12">
        <v>0.0686440813940758</v>
      </c>
      <c r="AC165" s="38">
        <v>1.27076775546722</v>
      </c>
      <c r="AD165" s="17">
        <v>-1.0815989875846799</v>
      </c>
      <c r="AE165" s="12">
        <v>1.4863714302414306</v>
      </c>
      <c r="AF165" s="12">
        <v>1.8511382059635366</v>
      </c>
      <c r="AG165" s="34">
        <f t="shared" si="1"/>
        <v>245.5644616</v>
      </c>
    </row>
    <row r="166">
      <c r="A166" s="23" t="s">
        <v>207</v>
      </c>
      <c r="B166" s="24" t="s">
        <v>56</v>
      </c>
      <c r="C166" s="25"/>
      <c r="D166" s="26">
        <v>69.26</v>
      </c>
      <c r="E166" s="27">
        <v>0.599</v>
      </c>
      <c r="F166" s="28">
        <v>839.8858211204004</v>
      </c>
      <c r="G166" s="29" t="s">
        <v>45</v>
      </c>
      <c r="H166" s="24" t="s">
        <v>36</v>
      </c>
      <c r="I166" s="11">
        <v>1.26796997070312</v>
      </c>
      <c r="J166" s="12">
        <v>0.170365710576939</v>
      </c>
      <c r="K166" s="12">
        <v>0.0536039183276116</v>
      </c>
      <c r="L166" s="12">
        <v>0.0252795287405839</v>
      </c>
      <c r="M166" s="12">
        <v>0.00207538868247619</v>
      </c>
      <c r="N166" s="12">
        <v>0.0382327324812117</v>
      </c>
      <c r="O166" s="12">
        <v>0.103422559436241</v>
      </c>
      <c r="P166" s="36">
        <v>0.392979838245063</v>
      </c>
      <c r="Q166" s="12">
        <v>0.33603669045124</v>
      </c>
      <c r="R166" s="12">
        <v>0.058530786416343</v>
      </c>
      <c r="S166" s="12">
        <v>0.0315932299328697</v>
      </c>
      <c r="T166" s="12">
        <v>0.0245401318854681</v>
      </c>
      <c r="U166" s="12">
        <v>0.0382327324812117</v>
      </c>
      <c r="V166" s="12">
        <v>0.103422559436241</v>
      </c>
      <c r="W166" s="37">
        <v>0.592356130603373</v>
      </c>
      <c r="X166" s="12">
        <v>0.170365710576939</v>
      </c>
      <c r="Y166" s="12">
        <v>0.0536039183276116</v>
      </c>
      <c r="Z166" s="12">
        <v>0.574017999033057</v>
      </c>
      <c r="AA166" s="12">
        <v>0.829900605087337</v>
      </c>
      <c r="AB166" s="12">
        <v>0.0382327324812117</v>
      </c>
      <c r="AC166" s="38">
        <v>1.66612096550616</v>
      </c>
      <c r="AD166" s="21">
        <v>1.073764834902787</v>
      </c>
      <c r="AE166" s="12">
        <v>0.3742873987050707</v>
      </c>
      <c r="AF166" s="12">
        <v>0.3555300862704275</v>
      </c>
      <c r="AG166" s="39" t="str">
        <f t="shared" si="1"/>
        <v/>
      </c>
    </row>
    <row r="167">
      <c r="A167" s="23" t="s">
        <v>208</v>
      </c>
      <c r="B167" s="24" t="s">
        <v>27</v>
      </c>
      <c r="C167" s="35">
        <v>53.2</v>
      </c>
      <c r="D167" s="26">
        <v>60.76</v>
      </c>
      <c r="E167" s="27">
        <v>0.51</v>
      </c>
      <c r="F167" s="28">
        <v>676.9881070921215</v>
      </c>
      <c r="G167" s="29" t="s">
        <v>34</v>
      </c>
      <c r="H167" s="24" t="s">
        <v>29</v>
      </c>
      <c r="I167" s="11">
        <v>7.8890898437500105</v>
      </c>
      <c r="J167" s="12">
        <v>0.33498223015405</v>
      </c>
      <c r="K167" s="12">
        <v>0.0975197629990918</v>
      </c>
      <c r="L167" s="12">
        <v>0.227690400129436</v>
      </c>
      <c r="M167" s="12">
        <v>0.0131112090817868</v>
      </c>
      <c r="N167" s="12">
        <v>0.0268327894214907</v>
      </c>
      <c r="O167" s="12">
        <v>0.0865691680131775</v>
      </c>
      <c r="P167" s="36">
        <v>0.786705559799033</v>
      </c>
      <c r="Q167" s="12">
        <v>0.370508986948896</v>
      </c>
      <c r="R167" s="12">
        <v>0.0929927486108598</v>
      </c>
      <c r="S167" s="12">
        <v>0.232955795891443</v>
      </c>
      <c r="T167" s="12">
        <v>0.0723767001086574</v>
      </c>
      <c r="U167" s="12">
        <v>0.0268327894214907</v>
      </c>
      <c r="V167" s="12">
        <v>0.248064258983236</v>
      </c>
      <c r="W167" s="37">
        <v>1.04373127996458</v>
      </c>
      <c r="X167" s="12">
        <v>0.33498223015405</v>
      </c>
      <c r="Y167" s="12">
        <v>0.100304955363294</v>
      </c>
      <c r="Z167" s="12">
        <v>0.113681373184178</v>
      </c>
      <c r="AA167" s="12">
        <v>0.018094262354392</v>
      </c>
      <c r="AB167" s="12">
        <v>0.0268327894214907</v>
      </c>
      <c r="AC167" s="38">
        <v>0.593895610477406</v>
      </c>
      <c r="AD167" s="17">
        <v>-0.4498356694871739</v>
      </c>
      <c r="AE167" s="12">
        <v>0.6594942561447545</v>
      </c>
      <c r="AF167" s="12">
        <v>1.7574322179710524</v>
      </c>
      <c r="AG167" s="39" t="str">
        <f t="shared" si="1"/>
        <v/>
      </c>
    </row>
    <row r="168">
      <c r="A168" s="23" t="s">
        <v>209</v>
      </c>
      <c r="B168" s="24" t="s">
        <v>38</v>
      </c>
      <c r="C168" s="25"/>
      <c r="D168" s="26">
        <v>70.801</v>
      </c>
      <c r="E168" s="27">
        <v>0.723</v>
      </c>
      <c r="F168" s="28">
        <v>4377.67576717754</v>
      </c>
      <c r="G168" s="29" t="s">
        <v>45</v>
      </c>
      <c r="H168" s="24" t="s">
        <v>36</v>
      </c>
      <c r="I168" s="11">
        <v>0.103196998596191</v>
      </c>
      <c r="J168" s="30"/>
      <c r="K168" s="30"/>
      <c r="L168" s="30"/>
      <c r="M168" s="30"/>
      <c r="N168" s="30"/>
      <c r="O168" s="30"/>
      <c r="P168" s="36">
        <v>1.00229977503106</v>
      </c>
      <c r="Q168" s="30"/>
      <c r="R168" s="30"/>
      <c r="S168" s="30"/>
      <c r="T168" s="30"/>
      <c r="U168" s="30"/>
      <c r="V168" s="30"/>
      <c r="W168" s="37">
        <v>2.92057652446973</v>
      </c>
      <c r="X168" s="30"/>
      <c r="Y168" s="30"/>
      <c r="Z168" s="30"/>
      <c r="AA168" s="30"/>
      <c r="AB168" s="30"/>
      <c r="AC168" s="38">
        <v>1.08131338559802</v>
      </c>
      <c r="AD168" s="17">
        <v>-1.83926313887171</v>
      </c>
      <c r="AE168" s="12">
        <v>1.845401665632136</v>
      </c>
      <c r="AF168" s="12">
        <v>2.700952899842728</v>
      </c>
      <c r="AG168" s="34">
        <f t="shared" si="1"/>
        <v>197.7889187</v>
      </c>
    </row>
    <row r="169">
      <c r="A169" s="23" t="s">
        <v>210</v>
      </c>
      <c r="B169" s="24" t="s">
        <v>56</v>
      </c>
      <c r="C169" s="35">
        <v>63.5</v>
      </c>
      <c r="D169" s="26">
        <v>73.38</v>
      </c>
      <c r="E169" s="27">
        <v>0.795</v>
      </c>
      <c r="F169" s="28">
        <v>15161.241954618194</v>
      </c>
      <c r="G169" s="29" t="s">
        <v>39</v>
      </c>
      <c r="H169" s="24" t="s">
        <v>40</v>
      </c>
      <c r="I169" s="11">
        <v>1.38983996582031</v>
      </c>
      <c r="J169" s="12">
        <v>0.0399772856354329</v>
      </c>
      <c r="K169" s="12">
        <v>0.00588423119507956</v>
      </c>
      <c r="L169" s="12">
        <v>0.0915499634148002</v>
      </c>
      <c r="M169" s="12">
        <v>0.0600808080803293</v>
      </c>
      <c r="N169" s="12">
        <v>0.00111952561179472</v>
      </c>
      <c r="O169" s="12">
        <v>7.62068194583408</v>
      </c>
      <c r="P169" s="36">
        <v>7.81929375977152</v>
      </c>
      <c r="Q169" s="12">
        <v>0.446147121205884</v>
      </c>
      <c r="R169" s="12">
        <v>0.176773341645518</v>
      </c>
      <c r="S169" s="12">
        <v>0.277206632050356</v>
      </c>
      <c r="T169" s="12">
        <v>0.101332199024412</v>
      </c>
      <c r="U169" s="12">
        <v>0.00111952561179472</v>
      </c>
      <c r="V169" s="12">
        <v>6.44116270773825</v>
      </c>
      <c r="W169" s="37">
        <v>7.44374152727621</v>
      </c>
      <c r="X169" s="12">
        <v>0.0399772856354329</v>
      </c>
      <c r="Y169" s="12">
        <v>0.00588423119507956</v>
      </c>
      <c r="Z169" s="12">
        <v>0.137007484392132</v>
      </c>
      <c r="AA169" s="12">
        <v>1.31468833585365</v>
      </c>
      <c r="AB169" s="12">
        <v>0.00111952561179472</v>
      </c>
      <c r="AC169" s="38">
        <v>1.49867686268809</v>
      </c>
      <c r="AD169" s="17">
        <v>-5.94506466458812</v>
      </c>
      <c r="AE169" s="12">
        <v>4.7034182798770185</v>
      </c>
      <c r="AF169" s="12">
        <v>4.966875590462378</v>
      </c>
      <c r="AG169" s="34">
        <f t="shared" si="1"/>
        <v>77.60313421</v>
      </c>
    </row>
    <row r="170">
      <c r="A170" s="23" t="s">
        <v>211</v>
      </c>
      <c r="B170" s="24" t="s">
        <v>27</v>
      </c>
      <c r="C170" s="35">
        <v>71.4</v>
      </c>
      <c r="D170" s="26">
        <v>76.505</v>
      </c>
      <c r="E170" s="27">
        <v>0.738</v>
      </c>
      <c r="F170" s="28">
        <v>4408.371592275959</v>
      </c>
      <c r="G170" s="29" t="s">
        <v>34</v>
      </c>
      <c r="H170" s="24" t="s">
        <v>32</v>
      </c>
      <c r="I170" s="11">
        <v>11.5652001953125</v>
      </c>
      <c r="J170" s="12">
        <v>0.331083795690745</v>
      </c>
      <c r="K170" s="12">
        <v>0.0748623401685643</v>
      </c>
      <c r="L170" s="12">
        <v>0.135966357566805</v>
      </c>
      <c r="M170" s="12">
        <v>0.0633086456230088</v>
      </c>
      <c r="N170" s="12">
        <v>0.0242506107166803</v>
      </c>
      <c r="O170" s="12">
        <v>0.87320563891249</v>
      </c>
      <c r="P170" s="36">
        <v>1.50267738867829</v>
      </c>
      <c r="Q170" s="12">
        <v>0.586134481497113</v>
      </c>
      <c r="R170" s="12">
        <v>0.0621744592850291</v>
      </c>
      <c r="S170" s="12">
        <v>0.240719542063736</v>
      </c>
      <c r="T170" s="12">
        <v>0.0684242874684186</v>
      </c>
      <c r="U170" s="12">
        <v>0.0242506107166803</v>
      </c>
      <c r="V170" s="12">
        <v>1.04267623397944</v>
      </c>
      <c r="W170" s="37">
        <v>2.02437961501041</v>
      </c>
      <c r="X170" s="12">
        <v>0.331083795690745</v>
      </c>
      <c r="Y170" s="12">
        <v>0.0748623401685643</v>
      </c>
      <c r="Z170" s="12">
        <v>0.0335324707274152</v>
      </c>
      <c r="AA170" s="12">
        <v>0.221814651708267</v>
      </c>
      <c r="AB170" s="12">
        <v>0.0242506107166803</v>
      </c>
      <c r="AC170" s="38">
        <v>0.685543869011671</v>
      </c>
      <c r="AD170" s="17">
        <v>-1.3388357459987388</v>
      </c>
      <c r="AE170" s="12">
        <v>1.2791287891661172</v>
      </c>
      <c r="AF170" s="12">
        <v>2.9529541529251806</v>
      </c>
      <c r="AG170" s="34">
        <f t="shared" si="1"/>
        <v>285.3504691</v>
      </c>
    </row>
    <row r="171">
      <c r="A171" s="23" t="s">
        <v>212</v>
      </c>
      <c r="B171" s="24" t="s">
        <v>27</v>
      </c>
      <c r="C171" s="35">
        <v>70.4</v>
      </c>
      <c r="D171" s="26">
        <v>77.437</v>
      </c>
      <c r="E171" s="27">
        <v>0.817</v>
      </c>
      <c r="F171" s="28">
        <v>15180.938282559579</v>
      </c>
      <c r="G171" s="29" t="s">
        <v>28</v>
      </c>
      <c r="H171" s="24" t="s">
        <v>32</v>
      </c>
      <c r="I171" s="11">
        <v>82.3401015625</v>
      </c>
      <c r="J171" s="12">
        <v>0.662302542038619</v>
      </c>
      <c r="K171" s="12">
        <v>0.0867871547930788</v>
      </c>
      <c r="L171" s="12">
        <v>0.215395532827223</v>
      </c>
      <c r="M171" s="12">
        <v>0.0263909535521746</v>
      </c>
      <c r="N171" s="12">
        <v>0.0336484545899912</v>
      </c>
      <c r="O171" s="12">
        <v>1.75300216013424</v>
      </c>
      <c r="P171" s="36">
        <v>2.77752679793533</v>
      </c>
      <c r="Q171" s="12">
        <v>0.769736494459837</v>
      </c>
      <c r="R171" s="12">
        <v>0.167141099186983</v>
      </c>
      <c r="S171" s="12">
        <v>0.320367190642243</v>
      </c>
      <c r="T171" s="12">
        <v>0.0315541881778962</v>
      </c>
      <c r="U171" s="12">
        <v>0.0336484545899912</v>
      </c>
      <c r="V171" s="12">
        <v>2.02277608029631</v>
      </c>
      <c r="W171" s="37">
        <v>3.34522350735326</v>
      </c>
      <c r="X171" s="12">
        <v>0.662302542038619</v>
      </c>
      <c r="Y171" s="12">
        <v>0.0867871547930788</v>
      </c>
      <c r="Z171" s="12">
        <v>0.482529558542926</v>
      </c>
      <c r="AA171" s="12">
        <v>0.0393771004924431</v>
      </c>
      <c r="AB171" s="12">
        <v>0.0336484545899912</v>
      </c>
      <c r="AC171" s="38">
        <v>1.30464481045706</v>
      </c>
      <c r="AD171" s="17">
        <v>-2.0405786968962003</v>
      </c>
      <c r="AE171" s="12">
        <v>2.1137200072175215</v>
      </c>
      <c r="AF171" s="12">
        <v>2.5640875436290727</v>
      </c>
      <c r="AG171" s="34">
        <f t="shared" si="1"/>
        <v>172.6813385</v>
      </c>
    </row>
    <row r="172">
      <c r="A172" s="23" t="s">
        <v>213</v>
      </c>
      <c r="B172" s="24" t="s">
        <v>27</v>
      </c>
      <c r="C172" s="35">
        <v>61.1</v>
      </c>
      <c r="D172" s="26">
        <v>68.073</v>
      </c>
      <c r="E172" s="27">
        <v>0.71</v>
      </c>
      <c r="F172" s="28">
        <v>7647.951724840672</v>
      </c>
      <c r="G172" s="29" t="s">
        <v>28</v>
      </c>
      <c r="H172" s="24" t="s">
        <v>36</v>
      </c>
      <c r="I172" s="11">
        <v>5.85089990234375</v>
      </c>
      <c r="J172" s="12">
        <v>0.365679135367983</v>
      </c>
      <c r="K172" s="12">
        <v>0.508856369075197</v>
      </c>
      <c r="L172" s="12">
        <v>6.44603344327457E-4</v>
      </c>
      <c r="M172" s="12">
        <v>0.00338155610213344</v>
      </c>
      <c r="N172" s="12">
        <v>0.0606409343760025</v>
      </c>
      <c r="O172" s="12">
        <v>4.14058566574522</v>
      </c>
      <c r="P172" s="36">
        <v>5.07978826401086</v>
      </c>
      <c r="Q172" s="12">
        <v>0.430756658621419</v>
      </c>
      <c r="R172" s="12">
        <v>0.394893634581083</v>
      </c>
      <c r="S172" s="12">
        <v>0.0267565251937915</v>
      </c>
      <c r="T172" s="12">
        <v>0.0049506988582504</v>
      </c>
      <c r="U172" s="12">
        <v>0.0606409343760025</v>
      </c>
      <c r="V172" s="12">
        <v>3.97890944841757</v>
      </c>
      <c r="W172" s="37">
        <v>4.89690790004812</v>
      </c>
      <c r="X172" s="12">
        <v>0.365679135367983</v>
      </c>
      <c r="Y172" s="12">
        <v>1.73275022596252</v>
      </c>
      <c r="Z172" s="12">
        <v>0.0130230501454486</v>
      </c>
      <c r="AA172" s="12">
        <v>0.113192738501504</v>
      </c>
      <c r="AB172" s="12">
        <v>0.0606409343760025</v>
      </c>
      <c r="AC172" s="38">
        <v>2.28528608435346</v>
      </c>
      <c r="AD172" s="17">
        <v>-2.6116218156946602</v>
      </c>
      <c r="AE172" s="12">
        <v>3.094170592512282</v>
      </c>
      <c r="AF172" s="12">
        <v>2.142798634085905</v>
      </c>
      <c r="AG172" s="34">
        <f t="shared" si="1"/>
        <v>117.9637609</v>
      </c>
    </row>
    <row r="173">
      <c r="A173" s="23" t="s">
        <v>214</v>
      </c>
      <c r="B173" s="24" t="s">
        <v>27</v>
      </c>
      <c r="C173" s="35">
        <v>53.5</v>
      </c>
      <c r="D173" s="26">
        <v>62.973</v>
      </c>
      <c r="E173" s="27">
        <v>0.538</v>
      </c>
      <c r="F173" s="28">
        <v>933.7148072737464</v>
      </c>
      <c r="G173" s="29" t="s">
        <v>34</v>
      </c>
      <c r="H173" s="24" t="s">
        <v>29</v>
      </c>
      <c r="I173" s="11">
        <v>42.7290000000001</v>
      </c>
      <c r="J173" s="12">
        <v>0.261472910558377</v>
      </c>
      <c r="K173" s="12">
        <v>0.127932374616391</v>
      </c>
      <c r="L173" s="12">
        <v>0.47255923996005</v>
      </c>
      <c r="M173" s="12">
        <v>0.0840237374449173</v>
      </c>
      <c r="N173" s="12">
        <v>0.0332760188279165</v>
      </c>
      <c r="O173" s="12">
        <v>0.0438086794696457</v>
      </c>
      <c r="P173" s="36">
        <v>1.0230729608773</v>
      </c>
      <c r="Q173" s="12">
        <v>0.23041611756227</v>
      </c>
      <c r="R173" s="12">
        <v>0.126405170933445</v>
      </c>
      <c r="S173" s="12">
        <v>0.480022812558492</v>
      </c>
      <c r="T173" s="12">
        <v>0.0802842172403363</v>
      </c>
      <c r="U173" s="12">
        <v>0.0332760188279165</v>
      </c>
      <c r="V173" s="12">
        <v>0.108552281158344</v>
      </c>
      <c r="W173" s="37">
        <v>1.0589566182808</v>
      </c>
      <c r="X173" s="12">
        <v>0.261472910558377</v>
      </c>
      <c r="Y173" s="12">
        <v>0.127932374616391</v>
      </c>
      <c r="Z173" s="12">
        <v>0.00939401842018304</v>
      </c>
      <c r="AA173" s="12">
        <v>0.034999762386089</v>
      </c>
      <c r="AB173" s="12">
        <v>0.0332760188279165</v>
      </c>
      <c r="AC173" s="38">
        <v>0.467075084808956</v>
      </c>
      <c r="AD173" s="17">
        <v>-0.5918815334718439</v>
      </c>
      <c r="AE173" s="12">
        <v>0.6691145706453877</v>
      </c>
      <c r="AF173" s="12">
        <v>2.2672085339639483</v>
      </c>
      <c r="AG173" s="39" t="str">
        <f t="shared" si="1"/>
        <v/>
      </c>
    </row>
    <row r="174">
      <c r="A174" s="23" t="s">
        <v>215</v>
      </c>
      <c r="B174" s="24" t="s">
        <v>56</v>
      </c>
      <c r="C174" s="35">
        <v>75.5</v>
      </c>
      <c r="D174" s="26">
        <v>71.5827</v>
      </c>
      <c r="E174" s="27">
        <v>0.774</v>
      </c>
      <c r="F174" s="28">
        <v>2960.706282416397</v>
      </c>
      <c r="G174" s="29" t="s">
        <v>31</v>
      </c>
      <c r="H174" s="24" t="s">
        <v>36</v>
      </c>
      <c r="I174" s="11">
        <v>44.2461992187498</v>
      </c>
      <c r="J174" s="12">
        <v>1.93144276823067</v>
      </c>
      <c r="K174" s="12">
        <v>0.0056474399702548</v>
      </c>
      <c r="L174" s="12">
        <v>0.232153503788996</v>
      </c>
      <c r="M174" s="12">
        <v>0.00259392695212368</v>
      </c>
      <c r="N174" s="12">
        <v>0.0843714180652981</v>
      </c>
      <c r="O174" s="12">
        <v>1.53921191287706</v>
      </c>
      <c r="P174" s="36">
        <v>3.7954209698844</v>
      </c>
      <c r="Q174" s="12">
        <v>0.634455902528195</v>
      </c>
      <c r="R174" s="12">
        <v>0.01209262631067</v>
      </c>
      <c r="S174" s="12">
        <v>0.190819759125839</v>
      </c>
      <c r="T174" s="12">
        <v>0.0618532292643202</v>
      </c>
      <c r="U174" s="12">
        <v>0.0843714180652981</v>
      </c>
      <c r="V174" s="12">
        <v>1.43917995457233</v>
      </c>
      <c r="W174" s="37">
        <v>2.42277288986665</v>
      </c>
      <c r="X174" s="12">
        <v>1.93144276823067</v>
      </c>
      <c r="Y174" s="12">
        <v>0.138468017841144</v>
      </c>
      <c r="Z174" s="12">
        <v>0.429617285691444</v>
      </c>
      <c r="AA174" s="12">
        <v>0.154235642855201</v>
      </c>
      <c r="AB174" s="12">
        <v>0.0843714180652981</v>
      </c>
      <c r="AC174" s="38">
        <v>2.73813513268375</v>
      </c>
      <c r="AD174" s="21">
        <v>0.3153622428171001</v>
      </c>
      <c r="AE174" s="12">
        <v>1.530858407218098</v>
      </c>
      <c r="AF174" s="12">
        <v>0.8848259024718033</v>
      </c>
      <c r="AG174" s="34">
        <f t="shared" si="1"/>
        <v>238.4283212</v>
      </c>
    </row>
    <row r="175">
      <c r="A175" s="23" t="s">
        <v>216</v>
      </c>
      <c r="B175" s="24" t="s">
        <v>27</v>
      </c>
      <c r="C175" s="35">
        <v>70.2</v>
      </c>
      <c r="D175" s="26">
        <v>77.814</v>
      </c>
      <c r="E175" s="27">
        <v>0.889</v>
      </c>
      <c r="F175" s="28">
        <v>41325.0601823972</v>
      </c>
      <c r="G175" s="29" t="s">
        <v>28</v>
      </c>
      <c r="H175" s="24" t="s">
        <v>40</v>
      </c>
      <c r="I175" s="11">
        <v>9.6309599609375</v>
      </c>
      <c r="J175" s="12">
        <v>0.0195332487015126</v>
      </c>
      <c r="K175" s="12">
        <v>0.00114010612468228</v>
      </c>
      <c r="L175" s="12">
        <v>7.38053553912135E-4</v>
      </c>
      <c r="M175" s="12">
        <v>0.13832113831898</v>
      </c>
      <c r="N175" s="12">
        <v>0.0</v>
      </c>
      <c r="O175" s="12">
        <v>6.41942020588948</v>
      </c>
      <c r="P175" s="36">
        <v>6.57915275258855</v>
      </c>
      <c r="Q175" s="12">
        <v>0.916149624732092</v>
      </c>
      <c r="R175" s="12">
        <v>0.553406103946956</v>
      </c>
      <c r="S175" s="12">
        <v>0.409130524414654</v>
      </c>
      <c r="T175" s="12">
        <v>0.277738017252399</v>
      </c>
      <c r="U175" s="12">
        <v>0.0</v>
      </c>
      <c r="V175" s="12">
        <v>5.93979437430913</v>
      </c>
      <c r="W175" s="37">
        <v>8.09621864465523</v>
      </c>
      <c r="X175" s="12">
        <v>0.0195332487015126</v>
      </c>
      <c r="Y175" s="12">
        <v>0.00114010612468228</v>
      </c>
      <c r="Z175" s="12">
        <v>0.0607453769246941</v>
      </c>
      <c r="AA175" s="12">
        <v>0.43579148972918</v>
      </c>
      <c r="AB175" s="12">
        <v>0.0</v>
      </c>
      <c r="AC175" s="38">
        <v>0.517210221480069</v>
      </c>
      <c r="AD175" s="17">
        <v>-7.57900842317516</v>
      </c>
      <c r="AE175" s="12">
        <v>5.115693852562694</v>
      </c>
      <c r="AF175" s="12">
        <v>15.65363233055753</v>
      </c>
      <c r="AG175" s="34">
        <f t="shared" si="1"/>
        <v>71.34907024</v>
      </c>
    </row>
    <row r="176">
      <c r="A176" s="23" t="s">
        <v>217</v>
      </c>
      <c r="B176" s="24" t="s">
        <v>27</v>
      </c>
      <c r="C176" s="35">
        <v>80.0</v>
      </c>
      <c r="D176" s="26">
        <v>81.2561</v>
      </c>
      <c r="E176" s="27">
        <v>0.928</v>
      </c>
      <c r="F176" s="28">
        <v>42894.35426799058</v>
      </c>
      <c r="G176" s="29" t="s">
        <v>47</v>
      </c>
      <c r="H176" s="24" t="s">
        <v>40</v>
      </c>
      <c r="I176" s="11">
        <v>67.141703125</v>
      </c>
      <c r="J176" s="12">
        <v>0.397248596557071</v>
      </c>
      <c r="K176" s="12">
        <v>0.102704468272701</v>
      </c>
      <c r="L176" s="12">
        <v>0.103554521028872</v>
      </c>
      <c r="M176" s="12">
        <v>0.0938114808217451</v>
      </c>
      <c r="N176" s="12">
        <v>0.12623625833097</v>
      </c>
      <c r="O176" s="12">
        <v>1.84754565980677</v>
      </c>
      <c r="P176" s="36">
        <v>2.67110098481813</v>
      </c>
      <c r="Q176" s="12">
        <v>0.698640581645324</v>
      </c>
      <c r="R176" s="12">
        <v>0.25519311018372</v>
      </c>
      <c r="S176" s="12">
        <v>0.443343061302733</v>
      </c>
      <c r="T176" s="12">
        <v>0.0835617283115779</v>
      </c>
      <c r="U176" s="12">
        <v>0.12623625833097</v>
      </c>
      <c r="V176" s="12">
        <v>2.57234903846554</v>
      </c>
      <c r="W176" s="37">
        <v>4.17932377823987</v>
      </c>
      <c r="X176" s="12">
        <v>0.397248596557071</v>
      </c>
      <c r="Y176" s="12">
        <v>0.102704468272701</v>
      </c>
      <c r="Z176" s="12">
        <v>0.116913489984732</v>
      </c>
      <c r="AA176" s="12">
        <v>0.284563164630035</v>
      </c>
      <c r="AB176" s="12">
        <v>0.12623625833097</v>
      </c>
      <c r="AC176" s="38">
        <v>1.02766597777551</v>
      </c>
      <c r="AD176" s="17">
        <v>-3.15165780046436</v>
      </c>
      <c r="AE176" s="12">
        <v>2.640756370175975</v>
      </c>
      <c r="AF176" s="12">
        <v>4.066811462695741</v>
      </c>
      <c r="AG176" s="34">
        <f t="shared" si="1"/>
        <v>138.2179758</v>
      </c>
    </row>
    <row r="177">
      <c r="A177" s="23" t="s">
        <v>218</v>
      </c>
      <c r="B177" s="24" t="s">
        <v>27</v>
      </c>
      <c r="C177" s="35">
        <v>76.0</v>
      </c>
      <c r="D177" s="26">
        <v>78.639</v>
      </c>
      <c r="E177" s="27">
        <v>0.925</v>
      </c>
      <c r="F177" s="28">
        <v>54723.9954019615</v>
      </c>
      <c r="G177" s="29" t="s">
        <v>71</v>
      </c>
      <c r="H177" s="24" t="s">
        <v>40</v>
      </c>
      <c r="I177" s="11">
        <v>327.096</v>
      </c>
      <c r="J177" s="12">
        <v>1.25749727963252</v>
      </c>
      <c r="K177" s="12">
        <v>0.251620706851246</v>
      </c>
      <c r="L177" s="12">
        <v>0.915305077866832</v>
      </c>
      <c r="M177" s="12">
        <v>0.098262233481241</v>
      </c>
      <c r="N177" s="12">
        <v>0.0723059299494698</v>
      </c>
      <c r="O177" s="12">
        <v>5.22836359817431</v>
      </c>
      <c r="P177" s="36">
        <v>7.82335482595562</v>
      </c>
      <c r="Q177" s="12">
        <v>0.937991649464075</v>
      </c>
      <c r="R177" s="12">
        <v>0.289092388746546</v>
      </c>
      <c r="S177" s="12">
        <v>0.921738066049949</v>
      </c>
      <c r="T177" s="12">
        <v>0.127889753009215</v>
      </c>
      <c r="U177" s="12">
        <v>0.0723059299494698</v>
      </c>
      <c r="V177" s="12">
        <v>5.77336533764403</v>
      </c>
      <c r="W177" s="37">
        <v>8.12238312486328</v>
      </c>
      <c r="X177" s="12">
        <v>1.25749727963251</v>
      </c>
      <c r="Y177" s="12">
        <v>0.251620706851246</v>
      </c>
      <c r="Z177" s="12">
        <v>1.48439474272712</v>
      </c>
      <c r="AA177" s="12">
        <v>0.32008382590128</v>
      </c>
      <c r="AB177" s="12">
        <v>0.0723059299494698</v>
      </c>
      <c r="AC177" s="38">
        <v>3.38590248506163</v>
      </c>
      <c r="AD177" s="17">
        <v>-4.73648063980165</v>
      </c>
      <c r="AE177" s="12">
        <v>5.132226196417338</v>
      </c>
      <c r="AF177" s="12">
        <v>2.398882767799332</v>
      </c>
      <c r="AG177" s="34">
        <f t="shared" si="1"/>
        <v>71.11923482</v>
      </c>
    </row>
    <row r="178">
      <c r="A178" s="23" t="s">
        <v>219</v>
      </c>
      <c r="B178" s="24" t="s">
        <v>27</v>
      </c>
      <c r="C178" s="35">
        <v>74.5</v>
      </c>
      <c r="D178" s="26">
        <v>77.77</v>
      </c>
      <c r="E178" s="27">
        <v>0.816</v>
      </c>
      <c r="F178" s="28">
        <v>14617.543247214457</v>
      </c>
      <c r="G178" s="29" t="s">
        <v>42</v>
      </c>
      <c r="H178" s="24" t="s">
        <v>32</v>
      </c>
      <c r="I178" s="11">
        <v>3.44928002929686</v>
      </c>
      <c r="J178" s="12">
        <v>0.989639725211958</v>
      </c>
      <c r="K178" s="12">
        <v>4.20466661318131</v>
      </c>
      <c r="L178" s="12">
        <v>3.1819536258069</v>
      </c>
      <c r="M178" s="12">
        <v>0.182540875190675</v>
      </c>
      <c r="N178" s="12">
        <v>0.0996278014662763</v>
      </c>
      <c r="O178" s="12">
        <v>0.643566369619876</v>
      </c>
      <c r="P178" s="36">
        <v>9.301995010477</v>
      </c>
      <c r="Q178" s="12">
        <v>0.149610076716459</v>
      </c>
      <c r="R178" s="12">
        <v>0.0660189281746904</v>
      </c>
      <c r="S178" s="12">
        <v>0.27690918371446</v>
      </c>
      <c r="T178" s="12">
        <v>0.0676554713702281</v>
      </c>
      <c r="U178" s="12">
        <v>0.0996278014662763</v>
      </c>
      <c r="V178" s="12">
        <v>0.598799056269863</v>
      </c>
      <c r="W178" s="37">
        <v>1.25862051771198</v>
      </c>
      <c r="X178" s="12">
        <v>0.989639725211958</v>
      </c>
      <c r="Y178" s="12">
        <v>4.77702080239695</v>
      </c>
      <c r="Z178" s="12">
        <v>1.30696681481338</v>
      </c>
      <c r="AA178" s="12">
        <v>2.14742000657677</v>
      </c>
      <c r="AB178" s="12">
        <v>0.0996278014662763</v>
      </c>
      <c r="AC178" s="38">
        <v>9.32067515046533</v>
      </c>
      <c r="AD178" s="21">
        <v>8.06205463275335</v>
      </c>
      <c r="AE178" s="12">
        <v>0.7952746248298286</v>
      </c>
      <c r="AF178" s="12">
        <v>0.13503533782626723</v>
      </c>
      <c r="AG178" s="39" t="str">
        <f t="shared" si="1"/>
        <v/>
      </c>
    </row>
    <row r="179">
      <c r="A179" s="23" t="s">
        <v>220</v>
      </c>
      <c r="B179" s="24" t="s">
        <v>27</v>
      </c>
      <c r="C179" s="35">
        <v>69.8</v>
      </c>
      <c r="D179" s="26">
        <v>71.573</v>
      </c>
      <c r="E179" s="27">
        <v>0.717</v>
      </c>
      <c r="F179" s="28">
        <v>2408.6100554167856</v>
      </c>
      <c r="G179" s="29" t="s">
        <v>28</v>
      </c>
      <c r="H179" s="24" t="s">
        <v>36</v>
      </c>
      <c r="I179" s="11">
        <v>32.47619921875</v>
      </c>
      <c r="J179" s="12">
        <v>0.364525481064564</v>
      </c>
      <c r="K179" s="12">
        <v>0.164675768301137</v>
      </c>
      <c r="L179" s="12">
        <v>4.92397548877015E-4</v>
      </c>
      <c r="M179" s="12">
        <v>0.00581208565546212</v>
      </c>
      <c r="N179" s="12">
        <v>0.0637246068096725</v>
      </c>
      <c r="O179" s="12">
        <v>1.18653412151283</v>
      </c>
      <c r="P179" s="36">
        <v>1.78576446089254</v>
      </c>
      <c r="Q179" s="12">
        <v>0.446585630188258</v>
      </c>
      <c r="R179" s="12">
        <v>0.1644652535705</v>
      </c>
      <c r="S179" s="12">
        <v>0.0885336448560788</v>
      </c>
      <c r="T179" s="12">
        <v>0.00712478268488282</v>
      </c>
      <c r="U179" s="12">
        <v>0.0637246068096725</v>
      </c>
      <c r="V179" s="12">
        <v>1.26793293411472</v>
      </c>
      <c r="W179" s="37">
        <v>2.03836685222411</v>
      </c>
      <c r="X179" s="12">
        <v>0.364525481064564</v>
      </c>
      <c r="Y179" s="12">
        <v>0.164675768301137</v>
      </c>
      <c r="Z179" s="12">
        <v>0.0564117391028437</v>
      </c>
      <c r="AA179" s="12">
        <v>0.00939279143435049</v>
      </c>
      <c r="AB179" s="12">
        <v>0.0637246068096725</v>
      </c>
      <c r="AC179" s="38">
        <v>0.658730386712568</v>
      </c>
      <c r="AD179" s="17">
        <v>-1.3796364655115418</v>
      </c>
      <c r="AE179" s="12">
        <v>1.2879667944830435</v>
      </c>
      <c r="AF179" s="12">
        <v>3.094387162548698</v>
      </c>
      <c r="AG179" s="34">
        <f t="shared" si="1"/>
        <v>283.3923992</v>
      </c>
    </row>
    <row r="180">
      <c r="A180" s="23" t="s">
        <v>221</v>
      </c>
      <c r="B180" s="24" t="s">
        <v>222</v>
      </c>
      <c r="C180" s="35">
        <v>60.5</v>
      </c>
      <c r="D180" s="26">
        <v>70.323</v>
      </c>
      <c r="E180" s="27">
        <v>0.603</v>
      </c>
      <c r="F180" s="28">
        <v>2864.828553309515</v>
      </c>
      <c r="G180" s="29" t="s">
        <v>45</v>
      </c>
      <c r="H180" s="24" t="s">
        <v>36</v>
      </c>
      <c r="I180" s="11">
        <v>0.292679992675782</v>
      </c>
      <c r="J180" s="30"/>
      <c r="K180" s="30"/>
      <c r="L180" s="30"/>
      <c r="M180" s="30"/>
      <c r="N180" s="30"/>
      <c r="O180" s="30"/>
      <c r="P180" s="44"/>
      <c r="Q180" s="30"/>
      <c r="R180" s="30"/>
      <c r="S180" s="30"/>
      <c r="T180" s="30"/>
      <c r="U180" s="30"/>
      <c r="V180" s="30"/>
      <c r="W180" s="45"/>
      <c r="X180" s="30"/>
      <c r="Y180" s="30"/>
      <c r="Z180" s="30"/>
      <c r="AA180" s="30"/>
      <c r="AB180" s="30"/>
      <c r="AC180" s="46"/>
      <c r="AD180" s="47"/>
      <c r="AE180" s="48"/>
      <c r="AF180" s="48"/>
      <c r="AG180" s="49"/>
    </row>
    <row r="181">
      <c r="A181" s="23" t="s">
        <v>223</v>
      </c>
      <c r="B181" s="24" t="s">
        <v>27</v>
      </c>
      <c r="C181" s="35">
        <v>59.3</v>
      </c>
      <c r="D181" s="26">
        <v>72.128</v>
      </c>
      <c r="E181" s="27">
        <v>0.733</v>
      </c>
      <c r="F181" s="28" t="s">
        <v>88</v>
      </c>
      <c r="G181" s="29" t="s">
        <v>42</v>
      </c>
      <c r="H181" s="24" t="s">
        <v>32</v>
      </c>
      <c r="I181" s="11">
        <v>28.887099609375</v>
      </c>
      <c r="J181" s="12">
        <v>0.114158454304776</v>
      </c>
      <c r="K181" s="12">
        <v>0.592644384538061</v>
      </c>
      <c r="L181" s="12">
        <v>0.0878359071755533</v>
      </c>
      <c r="M181" s="12">
        <v>0.0794514997609427</v>
      </c>
      <c r="N181" s="12">
        <v>0.0294515328591563</v>
      </c>
      <c r="O181" s="12">
        <v>1.38610228789428</v>
      </c>
      <c r="P181" s="36">
        <v>2.28964406653277</v>
      </c>
      <c r="Q181" s="12">
        <v>0.285138506527032</v>
      </c>
      <c r="R181" s="12">
        <v>0.621754226553412</v>
      </c>
      <c r="S181" s="12">
        <v>0.0882297417869936</v>
      </c>
      <c r="T181" s="12">
        <v>0.0763977336847984</v>
      </c>
      <c r="U181" s="12">
        <v>0.0294515328591563</v>
      </c>
      <c r="V181" s="12">
        <v>1.29064062318338</v>
      </c>
      <c r="W181" s="37">
        <v>2.39161236459477</v>
      </c>
      <c r="X181" s="12">
        <v>0.114158454304776</v>
      </c>
      <c r="Y181" s="12">
        <v>0.592644384538061</v>
      </c>
      <c r="Z181" s="12">
        <v>1.77347485680745</v>
      </c>
      <c r="AA181" s="12">
        <v>0.250735899557668</v>
      </c>
      <c r="AB181" s="12">
        <v>0.0294515328591563</v>
      </c>
      <c r="AC181" s="38">
        <v>2.76046512806711</v>
      </c>
      <c r="AD181" s="21">
        <v>0.3688527634723404</v>
      </c>
      <c r="AE181" s="50">
        <v>1.5111692517527604</v>
      </c>
      <c r="AF181" s="50">
        <v>0.8663802126235832</v>
      </c>
      <c r="AG181" s="51">
        <f t="shared" ref="AG181:AG183" si="2">IF(AE181&lt;1,"",$AH$5+(365/AE181))</f>
        <v>241.5348245</v>
      </c>
    </row>
    <row r="182">
      <c r="A182" s="23" t="s">
        <v>224</v>
      </c>
      <c r="B182" s="24" t="s">
        <v>27</v>
      </c>
      <c r="C182" s="35">
        <v>72.8</v>
      </c>
      <c r="D182" s="26">
        <v>75.317</v>
      </c>
      <c r="E182" s="27">
        <v>0.7</v>
      </c>
      <c r="F182" s="28">
        <v>1967.638624327549</v>
      </c>
      <c r="G182" s="29" t="s">
        <v>45</v>
      </c>
      <c r="H182" s="24" t="s">
        <v>36</v>
      </c>
      <c r="I182" s="11">
        <v>95.546</v>
      </c>
      <c r="J182" s="12">
        <v>0.525034705757987</v>
      </c>
      <c r="K182" s="12">
        <v>0.00357402395812837</v>
      </c>
      <c r="L182" s="12">
        <v>0.350116283101886</v>
      </c>
      <c r="M182" s="12">
        <v>0.0925549961031576</v>
      </c>
      <c r="N182" s="12">
        <v>0.0914840412998475</v>
      </c>
      <c r="O182" s="12">
        <v>0.956974058384008</v>
      </c>
      <c r="P182" s="36">
        <v>2.01973810860501</v>
      </c>
      <c r="Q182" s="12">
        <v>0.513525211165648</v>
      </c>
      <c r="R182" s="12">
        <v>0.0273435477563489</v>
      </c>
      <c r="S182" s="12">
        <v>0.425155435316372</v>
      </c>
      <c r="T182" s="12">
        <v>0.0742445152417002</v>
      </c>
      <c r="U182" s="12">
        <v>0.0914840412998475</v>
      </c>
      <c r="V182" s="12">
        <v>1.14039291870685</v>
      </c>
      <c r="W182" s="37">
        <v>2.27214566948676</v>
      </c>
      <c r="X182" s="12">
        <v>0.525034705757987</v>
      </c>
      <c r="Y182" s="12">
        <v>0.00900533236237547</v>
      </c>
      <c r="Z182" s="12">
        <v>0.159298644955257</v>
      </c>
      <c r="AA182" s="12">
        <v>0.153510885168599</v>
      </c>
      <c r="AB182" s="12">
        <v>0.0914840412998475</v>
      </c>
      <c r="AC182" s="38">
        <v>0.938333609544066</v>
      </c>
      <c r="AD182" s="17">
        <v>-1.333812059942694</v>
      </c>
      <c r="AE182" s="50">
        <v>1.435682772869994</v>
      </c>
      <c r="AF182" s="50">
        <v>2.4214689172124935</v>
      </c>
      <c r="AG182" s="51">
        <f t="shared" si="2"/>
        <v>254.234436</v>
      </c>
    </row>
    <row r="183">
      <c r="A183" s="23" t="s">
        <v>225</v>
      </c>
      <c r="B183" s="24" t="s">
        <v>27</v>
      </c>
      <c r="C183" s="35">
        <v>52.9</v>
      </c>
      <c r="D183" s="26">
        <v>66.096</v>
      </c>
      <c r="E183" s="27">
        <v>0.468</v>
      </c>
      <c r="F183" s="28">
        <v>632.9095886640682</v>
      </c>
      <c r="G183" s="29" t="s">
        <v>28</v>
      </c>
      <c r="H183" s="24" t="s">
        <v>36</v>
      </c>
      <c r="I183" s="11">
        <v>28.4986992187499</v>
      </c>
      <c r="J183" s="12">
        <v>0.0414388684042698</v>
      </c>
      <c r="K183" s="12">
        <v>0.101234713393682</v>
      </c>
      <c r="L183" s="12">
        <v>0.00765900201904935</v>
      </c>
      <c r="M183" s="12">
        <v>0.0485682563951762</v>
      </c>
      <c r="N183" s="12">
        <v>0.0249114849853378</v>
      </c>
      <c r="O183" s="12">
        <v>0.109249803862712</v>
      </c>
      <c r="P183" s="36">
        <v>0.333062129060227</v>
      </c>
      <c r="Q183" s="12">
        <v>0.168041143463636</v>
      </c>
      <c r="R183" s="12">
        <v>0.10865166860115</v>
      </c>
      <c r="S183" s="12">
        <v>0.0204446594170543</v>
      </c>
      <c r="T183" s="12">
        <v>0.033403326898751</v>
      </c>
      <c r="U183" s="12">
        <v>0.0249114849853378</v>
      </c>
      <c r="V183" s="12">
        <v>0.153089424637954</v>
      </c>
      <c r="W183" s="37">
        <v>0.508541708003883</v>
      </c>
      <c r="X183" s="50">
        <v>0.0414388684042698</v>
      </c>
      <c r="Y183" s="50">
        <v>0.101234713393682</v>
      </c>
      <c r="Z183" s="50">
        <v>0.0355189438139295</v>
      </c>
      <c r="AA183" s="50">
        <v>0.171547310135923</v>
      </c>
      <c r="AB183" s="50">
        <v>0.0249114849853378</v>
      </c>
      <c r="AC183" s="38">
        <v>0.374651320733143</v>
      </c>
      <c r="AD183" s="17">
        <v>-0.13389038727073999</v>
      </c>
      <c r="AE183" s="50">
        <v>0.32132824020564493</v>
      </c>
      <c r="AF183" s="50">
        <v>1.3573733225035327</v>
      </c>
      <c r="AG183" s="49" t="str">
        <f t="shared" si="2"/>
        <v/>
      </c>
    </row>
    <row r="184">
      <c r="A184" s="23" t="s">
        <v>226</v>
      </c>
      <c r="B184" s="24" t="s">
        <v>27</v>
      </c>
      <c r="C184" s="35">
        <v>53.4</v>
      </c>
      <c r="D184" s="40" t="s">
        <v>103</v>
      </c>
      <c r="E184" s="27">
        <v>0.582</v>
      </c>
      <c r="F184" s="28">
        <v>1678.1814641262492</v>
      </c>
      <c r="G184" s="29" t="s">
        <v>34</v>
      </c>
      <c r="H184" s="24" t="s">
        <v>36</v>
      </c>
      <c r="I184" s="11">
        <v>17.3516992187499</v>
      </c>
      <c r="J184" s="12">
        <v>0.220545578087575</v>
      </c>
      <c r="K184" s="12">
        <v>0.130643257591453</v>
      </c>
      <c r="L184" s="12">
        <v>0.608300798668467</v>
      </c>
      <c r="M184" s="12">
        <v>0.00866593241563347</v>
      </c>
      <c r="N184" s="12">
        <v>0.0434829536622605</v>
      </c>
      <c r="O184" s="12">
        <v>0.157293988844322</v>
      </c>
      <c r="P184" s="36">
        <v>1.16893250926971</v>
      </c>
      <c r="Q184" s="50">
        <v>0.207057034278858</v>
      </c>
      <c r="R184" s="50">
        <v>0.130973906355631</v>
      </c>
      <c r="S184" s="50">
        <v>0.615155172090632</v>
      </c>
      <c r="T184" s="50">
        <v>0.0517495026345424</v>
      </c>
      <c r="U184" s="50">
        <v>0.0434829536622605</v>
      </c>
      <c r="V184" s="50">
        <v>0.235610439023934</v>
      </c>
      <c r="W184" s="37">
        <v>1.28402900804586</v>
      </c>
      <c r="X184" s="50">
        <v>0.220545578087575</v>
      </c>
      <c r="Y184" s="50">
        <v>0.760214891997718</v>
      </c>
      <c r="Z184" s="50">
        <v>0.719844513247751</v>
      </c>
      <c r="AA184" s="50">
        <v>0.0193675737405627</v>
      </c>
      <c r="AB184" s="50">
        <v>0.0434829536622605</v>
      </c>
      <c r="AC184" s="38">
        <v>1.76345551073587</v>
      </c>
      <c r="AD184" s="21">
        <v>0.47942650269000997</v>
      </c>
      <c r="AE184" s="50">
        <v>0.8113292873221437</v>
      </c>
      <c r="AF184" s="50">
        <v>0.7281323516406997</v>
      </c>
      <c r="AG184" s="49"/>
    </row>
    <row r="185">
      <c r="A185" s="52" t="s">
        <v>227</v>
      </c>
      <c r="B185" s="53" t="s">
        <v>27</v>
      </c>
      <c r="C185" s="54">
        <v>58.7</v>
      </c>
      <c r="D185" s="55" t="s">
        <v>103</v>
      </c>
      <c r="E185" s="56">
        <v>0.569</v>
      </c>
      <c r="F185" s="57">
        <v>1305.8010537606497</v>
      </c>
      <c r="G185" s="58" t="s">
        <v>34</v>
      </c>
      <c r="H185" s="53" t="s">
        <v>29</v>
      </c>
      <c r="I185" s="59">
        <v>14.4387998046875</v>
      </c>
      <c r="J185" s="60">
        <v>0.152608386369051</v>
      </c>
      <c r="K185" s="60">
        <v>0.301816497692032</v>
      </c>
      <c r="L185" s="60">
        <v>0.272790171192138</v>
      </c>
      <c r="M185" s="60">
        <v>0.00176597368058476</v>
      </c>
      <c r="N185" s="60">
        <v>0.0232045151661352</v>
      </c>
      <c r="O185" s="60">
        <v>0.293603793401687</v>
      </c>
      <c r="P185" s="61">
        <v>1.04578933750163</v>
      </c>
      <c r="Q185" s="62">
        <v>0.19339808663355</v>
      </c>
      <c r="R185" s="62">
        <v>0.303349375927527</v>
      </c>
      <c r="S185" s="62">
        <v>0.285176496647743</v>
      </c>
      <c r="T185" s="62">
        <v>0.00722420833848481</v>
      </c>
      <c r="U185" s="62">
        <v>0.0232045151661352</v>
      </c>
      <c r="V185" s="62">
        <v>0.403335632608152</v>
      </c>
      <c r="W185" s="63">
        <v>1.21568831532159</v>
      </c>
      <c r="X185" s="62">
        <v>0.152608386369051</v>
      </c>
      <c r="Y185" s="62">
        <v>0.301816497692032</v>
      </c>
      <c r="Z185" s="62">
        <v>0.134279962652494</v>
      </c>
      <c r="AA185" s="62">
        <v>0.00987033676248933</v>
      </c>
      <c r="AB185" s="62">
        <v>0.0232045151661352</v>
      </c>
      <c r="AC185" s="64">
        <v>0.621779698642202</v>
      </c>
      <c r="AD185" s="65">
        <v>-0.5939086166793881</v>
      </c>
      <c r="AE185" s="62">
        <v>0.7681473925396676</v>
      </c>
      <c r="AF185" s="62">
        <v>1.9551753104456824</v>
      </c>
      <c r="AG185" s="66"/>
    </row>
  </sheetData>
  <hyperlinks>
    <hyperlink display="Region" location="null!E9:E15" ref="G1"/>
    <hyperlink display="Income Group" location="null!F16:G19" ref="H1"/>
    <hyperlink display="Population (millions)" location="null!G8:G15" ref="I1"/>
    <hyperlink display="Number of Earths required" location="null!A218" ref="AE1"/>
    <hyperlink display="Number of Countries required" location="null!A219" ref="AF1"/>
  </hyperlinks>
  <drawing r:id="rId1"/>
</worksheet>
</file>