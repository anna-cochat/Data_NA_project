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dalouse/ProjetTutore/data/"/>
    </mc:Choice>
  </mc:AlternateContent>
  <xr:revisionPtr revIDLastSave="0" documentId="13_ncr:1_{375BCAF7-5712-0E46-9C12-60B0A9DBECEA}" xr6:coauthVersionLast="47" xr6:coauthVersionMax="47" xr10:uidLastSave="{00000000-0000-0000-0000-000000000000}"/>
  <bookViews>
    <workbookView xWindow="1220" yWindow="740" windowWidth="14660" windowHeight="18380" xr2:uid="{00000000-000D-0000-FFFF-FFFF00000000}"/>
  </bookViews>
  <sheets>
    <sheet name="Feuille 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83" i="1" l="1"/>
  <c r="AG182" i="1"/>
  <c r="AG181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sharedStrings.xml><?xml version="1.0" encoding="utf-8"?>
<sst xmlns="http://schemas.openxmlformats.org/spreadsheetml/2006/main" count="797" uniqueCount="228">
  <si>
    <t>Country</t>
  </si>
  <si>
    <t>Quality Score</t>
  </si>
  <si>
    <t>SDGi</t>
  </si>
  <si>
    <t>Life Expectancy</t>
  </si>
  <si>
    <t>HDI</t>
  </si>
  <si>
    <t>Per Capita GDP</t>
  </si>
  <si>
    <t>Region</t>
  </si>
  <si>
    <t>Income Group</t>
  </si>
  <si>
    <t>Population (millions)</t>
  </si>
  <si>
    <t>Cropland Footprint</t>
  </si>
  <si>
    <t>Grazing Footprint</t>
  </si>
  <si>
    <t>Forest Product Footprint</t>
  </si>
  <si>
    <t>Fish Footprint</t>
  </si>
  <si>
    <t>Built up land</t>
  </si>
  <si>
    <t>Carbon Footprint</t>
  </si>
  <si>
    <t>Total Ecological Footprint (Production)</t>
  </si>
  <si>
    <t>Total Ecological Footprint (Consumption)</t>
  </si>
  <si>
    <t>Cropland</t>
  </si>
  <si>
    <t>Grazing land</t>
  </si>
  <si>
    <t>Forest land</t>
  </si>
  <si>
    <t>Fishing ground</t>
  </si>
  <si>
    <t xml:space="preserve">Total biocapacity </t>
  </si>
  <si>
    <r>
      <rPr>
        <b/>
        <sz val="11"/>
        <color rgb="FF000000"/>
        <rFont val="Calibri"/>
        <family val="2"/>
      </rPr>
      <t xml:space="preserve">Ecological </t>
    </r>
    <r>
      <rPr>
        <b/>
        <sz val="11"/>
        <color rgb="FF000000"/>
        <rFont val="Calibri"/>
        <family val="2"/>
      </rPr>
      <t xml:space="preserve">(Deficit) </t>
    </r>
    <r>
      <rPr>
        <b/>
        <sz val="11"/>
        <color rgb="FF000000"/>
        <rFont val="Calibri"/>
        <family val="2"/>
      </rPr>
      <t>or Reserve</t>
    </r>
  </si>
  <si>
    <t>Number of Earths required</t>
  </si>
  <si>
    <t>Number of Countries required</t>
  </si>
  <si>
    <t>actual 
Country Overshoot Day 
2018</t>
  </si>
  <si>
    <t>Afghanistan</t>
  </si>
  <si>
    <t>3A</t>
  </si>
  <si>
    <t>Middle East/Central Asia</t>
  </si>
  <si>
    <t>LI</t>
  </si>
  <si>
    <t>Albania</t>
  </si>
  <si>
    <t>Other Europe</t>
  </si>
  <si>
    <t>UM</t>
  </si>
  <si>
    <t>Algeria</t>
  </si>
  <si>
    <t>Africa</t>
  </si>
  <si>
    <t>Angola</t>
  </si>
  <si>
    <t>LM</t>
  </si>
  <si>
    <t>Antigua and Barbuda</t>
  </si>
  <si>
    <t>2B</t>
  </si>
  <si>
    <t>Central America/Caribbean</t>
  </si>
  <si>
    <t>HI</t>
  </si>
  <si>
    <t>Argentina</t>
  </si>
  <si>
    <t>South America</t>
  </si>
  <si>
    <t>Armenia</t>
  </si>
  <si>
    <t>Australia</t>
  </si>
  <si>
    <t>Asia-Pacific</t>
  </si>
  <si>
    <t>Austria</t>
  </si>
  <si>
    <t>EU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</si>
  <si>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</si>
  <si>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</si>
  <si>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</si>
  <si>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</si>
  <si>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</si>
  <si>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</si>
  <si>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</si>
  <si>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</si>
  <si>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2A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</si>
  <si>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</si>
  <si>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</si>
  <si>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</si>
  <si>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</si>
  <si>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</si>
  <si>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</si>
  <si>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</si>
  <si>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</si>
  <si>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</si>
  <si>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</si>
  <si>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</si>
  <si>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</si>
  <si>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</si>
  <si>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</si>
  <si>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</si>
  <si>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</si>
  <si>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</si>
  <si>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</si>
  <si>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</si>
  <si>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</si>
  <si>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</si>
  <si>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</si>
  <si>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Democratic Republic of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</si>
  <si>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</si>
  <si>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</si>
  <si>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</si>
  <si>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</si>
  <si>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</si>
  <si>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</si>
  <si>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</si>
  <si>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</si>
  <si>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-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</si>
  <si>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</si>
  <si>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</si>
  <si>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</si>
  <si>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</si>
  <si>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</si>
  <si>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</si>
  <si>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</si>
  <si>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</si>
  <si>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</si>
  <si>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</si>
  <si>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</si>
  <si>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</si>
  <si>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</si>
  <si>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</si>
  <si>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/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</si>
  <si>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</si>
  <si>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</si>
  <si>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</si>
  <si>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</si>
  <si>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</si>
  <si>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</si>
  <si>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</si>
  <si>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</si>
  <si>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</si>
  <si>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</si>
  <si>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</si>
  <si>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</si>
  <si>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</si>
  <si>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</si>
  <si>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</si>
  <si>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</si>
  <si>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</si>
  <si>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</si>
  <si>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</si>
  <si>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</si>
  <si>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</si>
  <si>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</si>
  <si>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</si>
  <si>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</si>
  <si>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</si>
  <si>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</si>
  <si>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</si>
  <si>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</si>
  <si>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</si>
  <si>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</si>
  <si>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</si>
  <si>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</si>
  <si>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</si>
  <si>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</si>
  <si>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</si>
  <si>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</si>
  <si>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</si>
  <si>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</si>
  <si>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Lithuania</t>
  </si>
  <si>
    <t>Luxembourg</t>
  </si>
  <si>
    <t>Madagascar</t>
  </si>
  <si>
    <t>Malawi</t>
  </si>
  <si>
    <t>Malaysia</t>
  </si>
  <si>
    <t>Mali</t>
  </si>
  <si>
    <t>Malta</t>
  </si>
  <si>
    <t>Martinique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</si>
  <si>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</si>
  <si>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</si>
  <si>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</si>
  <si>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</si>
  <si>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</si>
  <si>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</si>
  <si>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</si>
  <si>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</si>
  <si>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</si>
  <si>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</si>
  <si>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</si>
  <si>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</si>
  <si>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</si>
  <si>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</si>
  <si>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</si>
  <si>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</si>
  <si>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</si>
  <si>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</si>
  <si>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</si>
  <si>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</si>
  <si>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</si>
  <si>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</si>
  <si>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</si>
  <si>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</si>
  <si>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</si>
  <si>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</si>
  <si>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Moldova</t>
  </si>
  <si>
    <t>Republic of North Macedonia</t>
  </si>
  <si>
    <t>Réunion</t>
  </si>
  <si>
    <t>Romania</t>
  </si>
  <si>
    <t>Russian Federation</t>
  </si>
  <si>
    <t>Rwanda</t>
  </si>
  <si>
    <t>Saint Lucia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</si>
  <si>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</si>
  <si>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</si>
  <si>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</si>
  <si>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</si>
  <si>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</si>
  <si>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</si>
  <si>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</si>
  <si>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</si>
  <si>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</si>
  <si>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</si>
  <si>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</si>
  <si>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</si>
  <si>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</si>
  <si>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</si>
  <si>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</si>
  <si>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</si>
  <si>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</si>
  <si>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</si>
  <si>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</si>
  <si>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</si>
  <si>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</si>
  <si>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</si>
  <si>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</si>
  <si>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</si>
  <si>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</si>
  <si>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</si>
  <si>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</si>
  <si>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</si>
  <si>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</si>
  <si>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</si>
  <si>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</si>
  <si>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</si>
  <si>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</si>
  <si>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</si>
  <si>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</si>
  <si>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</si>
  <si>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</si>
  <si>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</si>
  <si>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</si>
  <si>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2C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</si>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</sst>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"/>
    <numFmt numFmtId="165" formatCode="0.0"/>
    <numFmt numFmtId="166" formatCode="_(* #,##0.0_);_(* \(#,##0.0\);_(* &quot;-&quot;??_);_(@_)"/>
    <numFmt numFmtId="167" formatCode="0.0_);[Red]\(0.0\)"/>
    <numFmt numFmtId="168" formatCode="[$$-409]#,##0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3" fillId="0" borderId="1" xfId="0" applyFont="1" applyBorder="1"/>
    <xf numFmtId="165" fontId="3" fillId="0" borderId="0" xfId="0" applyNumberFormat="1" applyFont="1"/>
    <xf numFmtId="165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right"/>
    </xf>
    <xf numFmtId="164" fontId="3" fillId="0" borderId="3" xfId="0" applyNumberFormat="1" applyFont="1" applyBorder="1"/>
    <xf numFmtId="1" fontId="3" fillId="0" borderId="0" xfId="0" applyNumberFormat="1" applyFont="1"/>
    <xf numFmtId="2" fontId="3" fillId="0" borderId="0" xfId="0" applyNumberFormat="1" applyFont="1"/>
    <xf numFmtId="165" fontId="3" fillId="0" borderId="4" xfId="0" applyNumberFormat="1" applyFont="1" applyBorder="1"/>
    <xf numFmtId="167" fontId="4" fillId="0" borderId="0" xfId="0" applyNumberFormat="1" applyFont="1"/>
    <xf numFmtId="164" fontId="3" fillId="0" borderId="5" xfId="0" applyNumberFormat="1" applyFont="1" applyBorder="1"/>
    <xf numFmtId="164" fontId="3" fillId="0" borderId="5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/>
    <xf numFmtId="2" fontId="3" fillId="0" borderId="7" xfId="0" applyNumberFormat="1" applyFont="1" applyBorder="1" applyAlignment="1">
      <alignment horizontal="center"/>
    </xf>
    <xf numFmtId="0" fontId="3" fillId="0" borderId="7" xfId="0" applyFont="1" applyBorder="1"/>
    <xf numFmtId="166" fontId="3" fillId="0" borderId="7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5" fontId="3" fillId="0" borderId="8" xfId="0" applyNumberFormat="1" applyFont="1" applyBorder="1" applyAlignment="1">
      <alignment horizontal="right"/>
    </xf>
    <xf numFmtId="167" fontId="4" fillId="0" borderId="7" xfId="0" applyNumberFormat="1" applyFont="1" applyBorder="1" applyAlignment="1">
      <alignment horizontal="center"/>
    </xf>
    <xf numFmtId="164" fontId="3" fillId="0" borderId="9" xfId="0" applyNumberFormat="1" applyFont="1" applyBorder="1"/>
    <xf numFmtId="0" fontId="5" fillId="0" borderId="0" xfId="0" applyFont="1"/>
    <xf numFmtId="168" fontId="1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right"/>
    </xf>
    <xf numFmtId="168" fontId="3" fillId="0" borderId="0" xfId="0" applyNumberFormat="1" applyFont="1"/>
    <xf numFmtId="168" fontId="3" fillId="0" borderId="0" xfId="0" quotePrefix="1" applyNumberFormat="1" applyFont="1" applyAlignment="1">
      <alignment horizontal="right"/>
    </xf>
    <xf numFmtId="168" fontId="3" fillId="0" borderId="7" xfId="0" applyNumberFormat="1" applyFont="1" applyBorder="1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topLeftCell="V1" zoomScale="75" workbookViewId="0">
      <selection activeCell="AC1" sqref="AC1"/>
    </sheetView>
  </sheetViews>
  <sheetFormatPr baseColWidth="10" defaultColWidth="12.6640625" defaultRowHeight="15.75" customHeight="1" x14ac:dyDescent="0.15"/>
  <cols>
    <col min="1" max="1" width="14.1640625" customWidth="1"/>
    <col min="3" max="5" width="12.83203125" bestFit="1" customWidth="1"/>
    <col min="6" max="6" width="12.83203125" style="45" bestFit="1" customWidth="1"/>
    <col min="9" max="32" width="12.83203125" bestFit="1" customWidth="1"/>
    <col min="33" max="33" width="17.83203125" bestFit="1" customWidth="1"/>
  </cols>
  <sheetData>
    <row r="1" spans="1:3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0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3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13</v>
      </c>
      <c r="AC1" s="3" t="s">
        <v>21</v>
      </c>
      <c r="AD1" s="4" t="s">
        <v>22</v>
      </c>
      <c r="AE1" s="2" t="s">
        <v>23</v>
      </c>
      <c r="AF1" s="2" t="s">
        <v>24</v>
      </c>
      <c r="AG1" s="5" t="s">
        <v>25</v>
      </c>
    </row>
    <row r="2" spans="1:33" ht="15" x14ac:dyDescent="0.2">
      <c r="A2" s="6" t="s">
        <v>26</v>
      </c>
      <c r="B2" s="7" t="s">
        <v>27</v>
      </c>
      <c r="C2" s="8">
        <v>53.9</v>
      </c>
      <c r="D2" s="9">
        <v>64.486000000000004</v>
      </c>
      <c r="E2" s="10">
        <v>0.50900000000000001</v>
      </c>
      <c r="F2" s="41">
        <v>564.6173825447371</v>
      </c>
      <c r="G2" s="6" t="s">
        <v>28</v>
      </c>
      <c r="H2" s="7" t="s">
        <v>29</v>
      </c>
      <c r="I2" s="11">
        <v>37.171898437499905</v>
      </c>
      <c r="J2" s="12">
        <v>0.13939286717319599</v>
      </c>
      <c r="K2" s="12">
        <v>0.15773983101156999</v>
      </c>
      <c r="L2" s="12">
        <v>5.2033927371832198E-2</v>
      </c>
      <c r="M2" s="12">
        <v>8.3972015943435294E-5</v>
      </c>
      <c r="N2" s="12">
        <v>2.8433397994100999E-2</v>
      </c>
      <c r="O2" s="12">
        <v>9.0303146847443894E-2</v>
      </c>
      <c r="P2" s="12">
        <v>0.46798714241408601</v>
      </c>
      <c r="Q2" s="12">
        <v>0.26978781249463701</v>
      </c>
      <c r="R2" s="12">
        <v>0.16509514169903999</v>
      </c>
      <c r="S2" s="12">
        <v>6.2878631456838599E-2</v>
      </c>
      <c r="T2" s="12">
        <v>1.05956501646205E-3</v>
      </c>
      <c r="U2" s="12">
        <v>2.8433397994100999E-2</v>
      </c>
      <c r="V2" s="12">
        <v>0.155000802846612</v>
      </c>
      <c r="W2" s="12">
        <v>0.68225535150769001</v>
      </c>
      <c r="X2" s="12">
        <v>0.13939286717319599</v>
      </c>
      <c r="Y2" s="12">
        <v>0.15773983101156999</v>
      </c>
      <c r="Z2" s="12">
        <v>1.4376867839728099E-2</v>
      </c>
      <c r="AA2" s="12">
        <v>0</v>
      </c>
      <c r="AB2" s="12">
        <v>2.8433397994100999E-2</v>
      </c>
      <c r="AC2" s="12">
        <v>0.33994296401859497</v>
      </c>
      <c r="AD2" s="13">
        <v>-0.34231238748909504</v>
      </c>
      <c r="AE2" s="12">
        <v>0.4310913107429446</v>
      </c>
      <c r="AF2" s="12">
        <v>2.0069700618082815</v>
      </c>
      <c r="AG2" s="14" t="str">
        <f t="shared" ref="AG2:AG179" si="0">IF(AE2&lt;1,"",$AH$5+(365/AE2))</f>
        <v/>
      </c>
    </row>
    <row r="3" spans="1:33" ht="15" x14ac:dyDescent="0.2">
      <c r="A3" s="6" t="s">
        <v>30</v>
      </c>
      <c r="B3" s="7" t="s">
        <v>27</v>
      </c>
      <c r="C3" s="8">
        <v>71</v>
      </c>
      <c r="D3" s="9">
        <v>78.457999999999998</v>
      </c>
      <c r="E3" s="10">
        <v>0.79200000000000004</v>
      </c>
      <c r="F3" s="41">
        <v>5046.0326110844671</v>
      </c>
      <c r="G3" s="6" t="s">
        <v>31</v>
      </c>
      <c r="H3" s="7" t="s">
        <v>32</v>
      </c>
      <c r="I3" s="11">
        <v>2.8827399902343802</v>
      </c>
      <c r="J3" s="12">
        <v>0.36206511460854401</v>
      </c>
      <c r="K3" s="12">
        <v>0.19571763859697</v>
      </c>
      <c r="L3" s="12">
        <v>0.16317448816675001</v>
      </c>
      <c r="M3" s="12">
        <v>1.8086733562888001E-2</v>
      </c>
      <c r="N3" s="12">
        <v>4.2247620080431598E-2</v>
      </c>
      <c r="O3" s="12">
        <v>0.639822237735029</v>
      </c>
      <c r="P3" s="12">
        <v>1.4211138327506101</v>
      </c>
      <c r="Q3" s="12">
        <v>0.54745832368021596</v>
      </c>
      <c r="R3" s="12">
        <v>0.19584792900988601</v>
      </c>
      <c r="S3" s="12">
        <v>0.20756132280576201</v>
      </c>
      <c r="T3" s="12">
        <v>4.0594971377801603E-2</v>
      </c>
      <c r="U3" s="12">
        <v>4.2247620080431598E-2</v>
      </c>
      <c r="V3" s="12">
        <v>0.85274785616747695</v>
      </c>
      <c r="W3" s="12">
        <v>1.88645802312157</v>
      </c>
      <c r="X3" s="12">
        <v>0.36206511460854401</v>
      </c>
      <c r="Y3" s="12">
        <v>0.19571763859697</v>
      </c>
      <c r="Z3" s="12">
        <v>0.31059049241463799</v>
      </c>
      <c r="AA3" s="12">
        <v>8.2072359480337406E-2</v>
      </c>
      <c r="AB3" s="12">
        <v>4.2247620080431598E-2</v>
      </c>
      <c r="AC3" s="12">
        <v>0.99269322518092196</v>
      </c>
      <c r="AD3" s="13">
        <v>-0.893764797940648</v>
      </c>
      <c r="AE3" s="12">
        <v>1.1919813601342713</v>
      </c>
      <c r="AF3" s="12">
        <v>1.9003434044568563</v>
      </c>
      <c r="AG3" s="15">
        <f t="shared" si="0"/>
        <v>306.21284208578936</v>
      </c>
    </row>
    <row r="4" spans="1:33" ht="15" x14ac:dyDescent="0.2">
      <c r="A4" s="6" t="s">
        <v>33</v>
      </c>
      <c r="B4" s="7" t="s">
        <v>27</v>
      </c>
      <c r="C4" s="8">
        <v>70.900000000000006</v>
      </c>
      <c r="D4" s="9">
        <v>76.692999999999998</v>
      </c>
      <c r="E4" s="10">
        <v>0.746</v>
      </c>
      <c r="F4" s="41">
        <v>4759.8300536424413</v>
      </c>
      <c r="G4" s="6" t="s">
        <v>34</v>
      </c>
      <c r="H4" s="7" t="s">
        <v>32</v>
      </c>
      <c r="I4" s="11">
        <v>42.228398437499997</v>
      </c>
      <c r="J4" s="12">
        <v>0.249653044641197</v>
      </c>
      <c r="K4" s="12">
        <v>0.10832919066132</v>
      </c>
      <c r="L4" s="12">
        <v>7.9856899497149803E-2</v>
      </c>
      <c r="M4" s="12">
        <v>8.4171093852081994E-3</v>
      </c>
      <c r="N4" s="12">
        <v>3.7283148604679003E-2</v>
      </c>
      <c r="O4" s="12">
        <v>1.2006422971223101</v>
      </c>
      <c r="P4" s="12">
        <v>1.68418168991186</v>
      </c>
      <c r="Q4" s="12">
        <v>0.64291686791431002</v>
      </c>
      <c r="R4" s="12">
        <v>0.15020126500689501</v>
      </c>
      <c r="S4" s="12">
        <v>0.16352753451593899</v>
      </c>
      <c r="T4" s="12">
        <v>1.3792763402875E-2</v>
      </c>
      <c r="U4" s="12">
        <v>3.7283148604679003E-2</v>
      </c>
      <c r="V4" s="12">
        <v>1.3331871358896299</v>
      </c>
      <c r="W4" s="12">
        <v>2.34090871533432</v>
      </c>
      <c r="X4" s="12">
        <v>0.249653044641197</v>
      </c>
      <c r="Y4" s="12">
        <v>0.249356357690563</v>
      </c>
      <c r="Z4" s="12">
        <v>2.5332506018665699E-2</v>
      </c>
      <c r="AA4" s="12">
        <v>7.54136950463023E-3</v>
      </c>
      <c r="AB4" s="12">
        <v>3.7283148604679003E-2</v>
      </c>
      <c r="AC4" s="12">
        <v>0.56916642645973503</v>
      </c>
      <c r="AD4" s="13">
        <v>-1.7717422888745848</v>
      </c>
      <c r="AE4" s="12">
        <v>1.4791315365910767</v>
      </c>
      <c r="AF4" s="12">
        <v>4.1128720994577579</v>
      </c>
      <c r="AG4" s="15">
        <f t="shared" si="0"/>
        <v>246.76642406070783</v>
      </c>
    </row>
    <row r="5" spans="1:33" ht="15" x14ac:dyDescent="0.2">
      <c r="A5" s="6" t="s">
        <v>35</v>
      </c>
      <c r="B5" s="7" t="s">
        <v>27</v>
      </c>
      <c r="C5" s="8">
        <v>50.3</v>
      </c>
      <c r="D5" s="9">
        <v>60.781999999999996</v>
      </c>
      <c r="E5" s="10">
        <v>0.58199999999999996</v>
      </c>
      <c r="F5" s="41">
        <v>3233.902767090789</v>
      </c>
      <c r="G5" s="6" t="s">
        <v>34</v>
      </c>
      <c r="H5" s="7" t="s">
        <v>36</v>
      </c>
      <c r="I5" s="11">
        <v>30.809800781249898</v>
      </c>
      <c r="J5" s="12">
        <v>0.21091926669825001</v>
      </c>
      <c r="K5" s="12">
        <v>5.4546373839666498E-2</v>
      </c>
      <c r="L5" s="12">
        <v>8.6584432485032295E-2</v>
      </c>
      <c r="M5" s="12">
        <v>7.8892022194300804E-2</v>
      </c>
      <c r="N5" s="12">
        <v>4.64374273660293E-2</v>
      </c>
      <c r="O5" s="12">
        <v>0.20184976894199999</v>
      </c>
      <c r="P5" s="12">
        <v>0.679229291525279</v>
      </c>
      <c r="Q5" s="12">
        <v>0.32974211643291501</v>
      </c>
      <c r="R5" s="12">
        <v>7.5852850578526407E-2</v>
      </c>
      <c r="S5" s="12">
        <v>8.9536690916970793E-2</v>
      </c>
      <c r="T5" s="12">
        <v>9.1382906191150304E-2</v>
      </c>
      <c r="U5" s="12">
        <v>4.64374273660293E-2</v>
      </c>
      <c r="V5" s="12">
        <v>0.22889268104503499</v>
      </c>
      <c r="W5" s="12">
        <v>0.86184467253062602</v>
      </c>
      <c r="X5" s="12">
        <v>0.21091926669825001</v>
      </c>
      <c r="Y5" s="12">
        <v>0.91824942309649205</v>
      </c>
      <c r="Z5" s="12">
        <v>0.48599972653195</v>
      </c>
      <c r="AA5" s="12">
        <v>0.17516047723377901</v>
      </c>
      <c r="AB5" s="12">
        <v>4.64374273660293E-2</v>
      </c>
      <c r="AC5" s="12">
        <v>1.8367663209264999</v>
      </c>
      <c r="AD5" s="13">
        <v>0.97492164839587392</v>
      </c>
      <c r="AE5" s="12">
        <v>0.54456699931633112</v>
      </c>
      <c r="AF5" s="12">
        <v>0.469218464380322</v>
      </c>
      <c r="AG5" s="14" t="str">
        <f t="shared" si="0"/>
        <v/>
      </c>
    </row>
    <row r="6" spans="1:33" ht="15" x14ac:dyDescent="0.2">
      <c r="A6" s="16" t="s">
        <v>37</v>
      </c>
      <c r="B6" s="7" t="s">
        <v>38</v>
      </c>
      <c r="C6" s="17"/>
      <c r="D6" s="9">
        <v>76.885000000000005</v>
      </c>
      <c r="E6" s="10">
        <v>0.77200000000000002</v>
      </c>
      <c r="F6" s="41">
        <v>15134.910089609682</v>
      </c>
      <c r="G6" s="6" t="s">
        <v>39</v>
      </c>
      <c r="H6" s="7" t="s">
        <v>40</v>
      </c>
      <c r="I6" s="11">
        <v>9.6286003112792992E-2</v>
      </c>
      <c r="J6" s="17"/>
      <c r="K6" s="17"/>
      <c r="L6" s="17"/>
      <c r="M6" s="17"/>
      <c r="N6" s="17"/>
      <c r="O6" s="17"/>
      <c r="P6" s="18">
        <v>1.9103727989399399</v>
      </c>
      <c r="Q6" s="17"/>
      <c r="R6" s="17"/>
      <c r="S6" s="17"/>
      <c r="T6" s="17"/>
      <c r="U6" s="17"/>
      <c r="V6" s="17"/>
      <c r="W6" s="18">
        <v>4.6550924198616901</v>
      </c>
      <c r="X6" s="17"/>
      <c r="Y6" s="17"/>
      <c r="Z6" s="17"/>
      <c r="AA6" s="17"/>
      <c r="AB6" s="17"/>
      <c r="AC6" s="18">
        <v>0.85650877646688195</v>
      </c>
      <c r="AD6" s="13">
        <v>-3.7985836433948084</v>
      </c>
      <c r="AE6" s="12">
        <v>2.9413765512766412</v>
      </c>
      <c r="AF6" s="12">
        <v>5.4349617280794851</v>
      </c>
      <c r="AG6" s="19">
        <f t="shared" si="0"/>
        <v>124.09155836969585</v>
      </c>
    </row>
    <row r="7" spans="1:33" ht="15" x14ac:dyDescent="0.2">
      <c r="A7" s="16" t="s">
        <v>41</v>
      </c>
      <c r="B7" s="7" t="s">
        <v>27</v>
      </c>
      <c r="C7" s="8">
        <v>72.8</v>
      </c>
      <c r="D7" s="9">
        <v>76.52</v>
      </c>
      <c r="E7" s="10">
        <v>0.84199999999999997</v>
      </c>
      <c r="F7" s="41">
        <v>10076.39540623727</v>
      </c>
      <c r="G7" s="6" t="s">
        <v>42</v>
      </c>
      <c r="H7" s="7" t="s">
        <v>32</v>
      </c>
      <c r="I7" s="11">
        <v>44.361101562499996</v>
      </c>
      <c r="J7" s="12">
        <v>2.20742313125958</v>
      </c>
      <c r="K7" s="12">
        <v>0.96969220876463103</v>
      </c>
      <c r="L7" s="12">
        <v>0.25068782333171302</v>
      </c>
      <c r="M7" s="12">
        <v>0.174033948422431</v>
      </c>
      <c r="N7" s="12">
        <v>9.2705246455913395E-2</v>
      </c>
      <c r="O7" s="12">
        <v>1.3815372289921299</v>
      </c>
      <c r="P7" s="20">
        <v>5.0760795872263902</v>
      </c>
      <c r="Q7" s="12">
        <v>0.90861394905397397</v>
      </c>
      <c r="R7" s="12">
        <v>0.71714694190238903</v>
      </c>
      <c r="S7" s="12">
        <v>0.27667771336796498</v>
      </c>
      <c r="T7" s="12">
        <v>8.3593219503556096E-2</v>
      </c>
      <c r="U7" s="12">
        <v>9.2705246455913395E-2</v>
      </c>
      <c r="V7" s="12">
        <v>1.2330090275713601</v>
      </c>
      <c r="W7" s="20">
        <v>3.3117460978551598</v>
      </c>
      <c r="X7" s="12">
        <v>2.20742313125958</v>
      </c>
      <c r="Y7" s="12">
        <v>1.7214213629259001</v>
      </c>
      <c r="Z7" s="12">
        <v>0.60991216008830795</v>
      </c>
      <c r="AA7" s="12">
        <v>1.5481942958316299</v>
      </c>
      <c r="AB7" s="12">
        <v>9.2705246455913395E-2</v>
      </c>
      <c r="AC7" s="20">
        <v>6.1796561965613304</v>
      </c>
      <c r="AD7" s="13">
        <v>2.8679100987061705</v>
      </c>
      <c r="AE7" s="12">
        <v>2.0925669003801448</v>
      </c>
      <c r="AF7" s="12">
        <v>0.53591105921037818</v>
      </c>
      <c r="AG7" s="19">
        <f t="shared" si="0"/>
        <v>174.42692032149247</v>
      </c>
    </row>
    <row r="8" spans="1:33" ht="15" x14ac:dyDescent="0.2">
      <c r="A8" s="16" t="s">
        <v>43</v>
      </c>
      <c r="B8" s="7" t="s">
        <v>27</v>
      </c>
      <c r="C8" s="8">
        <v>71.8</v>
      </c>
      <c r="D8" s="9">
        <v>74.944999999999993</v>
      </c>
      <c r="E8" s="10">
        <v>0.77100000000000002</v>
      </c>
      <c r="F8" s="41">
        <v>4406.7417633607183</v>
      </c>
      <c r="G8" s="6" t="s">
        <v>28</v>
      </c>
      <c r="H8" s="7" t="s">
        <v>36</v>
      </c>
      <c r="I8" s="11">
        <v>2.9517500000000001</v>
      </c>
      <c r="J8" s="12">
        <v>0.20855732519605599</v>
      </c>
      <c r="K8" s="12">
        <v>0.15655168788287399</v>
      </c>
      <c r="L8" s="12">
        <v>0.19805271385604101</v>
      </c>
      <c r="M8" s="12">
        <v>4.4135578785865098E-5</v>
      </c>
      <c r="N8" s="12">
        <v>3.5762932349700398E-2</v>
      </c>
      <c r="O8" s="12">
        <v>0.65232442125465395</v>
      </c>
      <c r="P8" s="20">
        <v>1.2512932161181101</v>
      </c>
      <c r="Q8" s="12">
        <v>0.48283852833732699</v>
      </c>
      <c r="R8" s="12">
        <v>0.20136502308770399</v>
      </c>
      <c r="S8" s="12">
        <v>0.26719601500329998</v>
      </c>
      <c r="T8" s="12">
        <v>7.5620044384580305E-4</v>
      </c>
      <c r="U8" s="12">
        <v>3.5762932349700398E-2</v>
      </c>
      <c r="V8" s="12">
        <v>0.91247341731597298</v>
      </c>
      <c r="W8" s="20">
        <v>1.9003921165378499</v>
      </c>
      <c r="X8" s="12">
        <v>0.20855732519605599</v>
      </c>
      <c r="Y8" s="12">
        <v>0.26346450442498798</v>
      </c>
      <c r="Z8" s="12">
        <v>9.2649368915744795E-2</v>
      </c>
      <c r="AA8" s="12">
        <v>1.56823252562176E-2</v>
      </c>
      <c r="AB8" s="12">
        <v>3.5762932349700398E-2</v>
      </c>
      <c r="AC8" s="20">
        <v>0.61611645614270705</v>
      </c>
      <c r="AD8" s="13">
        <v>-1.2842756603951428</v>
      </c>
      <c r="AE8" s="12">
        <v>1.200785785898854</v>
      </c>
      <c r="AF8" s="12">
        <v>3.0844690116468412</v>
      </c>
      <c r="AG8" s="19">
        <f t="shared" si="0"/>
        <v>303.96762210736654</v>
      </c>
    </row>
    <row r="9" spans="1:33" ht="15" x14ac:dyDescent="0.2">
      <c r="A9" s="16" t="s">
        <v>44</v>
      </c>
      <c r="B9" s="7" t="s">
        <v>27</v>
      </c>
      <c r="C9" s="8">
        <v>75.599999999999994</v>
      </c>
      <c r="D9" s="9">
        <v>82.748800000000003</v>
      </c>
      <c r="E9" s="10">
        <v>0.94299999999999995</v>
      </c>
      <c r="F9" s="41">
        <v>57032.237051531243</v>
      </c>
      <c r="G9" s="6" t="s">
        <v>45</v>
      </c>
      <c r="H9" s="7" t="s">
        <v>40</v>
      </c>
      <c r="I9" s="11">
        <v>24.898199218750001</v>
      </c>
      <c r="J9" s="12">
        <v>1.9211579175887299</v>
      </c>
      <c r="K9" s="12">
        <v>2.4132548165860199</v>
      </c>
      <c r="L9" s="12">
        <v>0.984092570621241</v>
      </c>
      <c r="M9" s="12">
        <v>4.1369172362915103E-2</v>
      </c>
      <c r="N9" s="12">
        <v>4.0870354040578802E-2</v>
      </c>
      <c r="O9" s="12">
        <v>5.4459393042676796</v>
      </c>
      <c r="P9" s="20">
        <v>10.8466841354672</v>
      </c>
      <c r="Q9" s="12">
        <v>0.76599485957218205</v>
      </c>
      <c r="R9" s="12">
        <v>0.52242908388680698</v>
      </c>
      <c r="S9" s="12">
        <v>0.94713888158678805</v>
      </c>
      <c r="T9" s="12">
        <v>0.112822069917975</v>
      </c>
      <c r="U9" s="12">
        <v>4.0870354040578802E-2</v>
      </c>
      <c r="V9" s="12">
        <v>4.6967837016520599</v>
      </c>
      <c r="W9" s="20">
        <v>7.0860389506563903</v>
      </c>
      <c r="X9" s="12">
        <v>1.9211579175887299</v>
      </c>
      <c r="Y9" s="12">
        <v>4.6133933279215897</v>
      </c>
      <c r="Z9" s="12">
        <v>1.9595292063063501</v>
      </c>
      <c r="AA9" s="12">
        <v>2.93674339815278</v>
      </c>
      <c r="AB9" s="12">
        <v>4.0870354040578802E-2</v>
      </c>
      <c r="AC9" s="20">
        <v>11.471694204009999</v>
      </c>
      <c r="AD9" s="13">
        <v>4.3856552533536091</v>
      </c>
      <c r="AE9" s="12">
        <v>4.4773995725551918</v>
      </c>
      <c r="AF9" s="12">
        <v>0.61769768480922571</v>
      </c>
      <c r="AG9" s="19">
        <f t="shared" si="0"/>
        <v>81.520533087400864</v>
      </c>
    </row>
    <row r="10" spans="1:33" ht="15" x14ac:dyDescent="0.2">
      <c r="A10" s="16" t="s">
        <v>46</v>
      </c>
      <c r="B10" s="7" t="s">
        <v>27</v>
      </c>
      <c r="C10" s="8">
        <v>82.1</v>
      </c>
      <c r="D10" s="9">
        <v>81.692700000000002</v>
      </c>
      <c r="E10" s="10">
        <v>0.92100000000000004</v>
      </c>
      <c r="F10" s="41">
        <v>49711.014529396307</v>
      </c>
      <c r="G10" s="6" t="s">
        <v>47</v>
      </c>
      <c r="H10" s="7" t="s">
        <v>40</v>
      </c>
      <c r="I10" s="11">
        <v>8.8913896484374906</v>
      </c>
      <c r="J10" s="12">
        <v>0.51906870070477995</v>
      </c>
      <c r="K10" s="12">
        <v>0.14492524654745301</v>
      </c>
      <c r="L10" s="12">
        <v>1.31108456006782</v>
      </c>
      <c r="M10" s="12">
        <v>5.9936842714361398E-5</v>
      </c>
      <c r="N10" s="12">
        <v>0.13124090500987301</v>
      </c>
      <c r="O10" s="12">
        <v>2.51309583926309</v>
      </c>
      <c r="P10" s="20">
        <v>4.6194751884357297</v>
      </c>
      <c r="Q10" s="12">
        <v>0.751800319841326</v>
      </c>
      <c r="R10" s="12">
        <v>0.26921436374344998</v>
      </c>
      <c r="S10" s="12">
        <v>0.91937838369668601</v>
      </c>
      <c r="T10" s="12">
        <v>5.6384393298544402E-2</v>
      </c>
      <c r="U10" s="12">
        <v>0.13124090500987301</v>
      </c>
      <c r="V10" s="12">
        <v>3.9364411870388198</v>
      </c>
      <c r="W10" s="20">
        <v>6.0644595526287004</v>
      </c>
      <c r="X10" s="12">
        <v>0.51906870070477995</v>
      </c>
      <c r="Y10" s="12">
        <v>0.14492524654745301</v>
      </c>
      <c r="Z10" s="12">
        <v>1.87749553859898</v>
      </c>
      <c r="AA10" s="12">
        <v>2.9556426845363899E-3</v>
      </c>
      <c r="AB10" s="12">
        <v>0.13124090500987301</v>
      </c>
      <c r="AC10" s="20">
        <v>2.6756860335456301</v>
      </c>
      <c r="AD10" s="13">
        <v>-3.3887735190830703</v>
      </c>
      <c r="AE10" s="12">
        <v>3.8319022514267673</v>
      </c>
      <c r="AF10" s="12">
        <v>2.2665064124106173</v>
      </c>
      <c r="AG10" s="19">
        <f t="shared" si="0"/>
        <v>95.252951680616647</v>
      </c>
    </row>
    <row r="11" spans="1:33" ht="15" x14ac:dyDescent="0.2">
      <c r="A11" s="16" t="s">
        <v>48</v>
      </c>
      <c r="B11" s="7" t="s">
        <v>27</v>
      </c>
      <c r="C11" s="8">
        <v>72.400000000000006</v>
      </c>
      <c r="D11" s="9">
        <v>72.864000000000004</v>
      </c>
      <c r="E11" s="10">
        <v>0.754</v>
      </c>
      <c r="F11" s="41">
        <v>5795.021656642627</v>
      </c>
      <c r="G11" s="6" t="s">
        <v>28</v>
      </c>
      <c r="H11" s="7" t="s">
        <v>32</v>
      </c>
      <c r="I11" s="11">
        <v>9.9495400390624802</v>
      </c>
      <c r="J11" s="12">
        <v>0.43554382379078199</v>
      </c>
      <c r="K11" s="12">
        <v>0.17317712303622601</v>
      </c>
      <c r="L11" s="12">
        <v>1.62266564097313E-2</v>
      </c>
      <c r="M11" s="12">
        <v>2.8961938342639699E-4</v>
      </c>
      <c r="N11" s="12">
        <v>5.6911876382835201E-2</v>
      </c>
      <c r="O11" s="12">
        <v>1.1145657336607899</v>
      </c>
      <c r="P11" s="20">
        <v>1.7967148326637901</v>
      </c>
      <c r="Q11" s="12">
        <v>0.59193480104285101</v>
      </c>
      <c r="R11" s="12">
        <v>0.222369954313027</v>
      </c>
      <c r="S11" s="12">
        <v>0.12709296384558599</v>
      </c>
      <c r="T11" s="12">
        <v>1.0219861510530901E-2</v>
      </c>
      <c r="U11" s="12">
        <v>5.6911876382835201E-2</v>
      </c>
      <c r="V11" s="12">
        <v>1.05154532053179</v>
      </c>
      <c r="W11" s="20">
        <v>2.0600747776266202</v>
      </c>
      <c r="X11" s="12">
        <v>0.43554382379078199</v>
      </c>
      <c r="Y11" s="12">
        <v>0.17317712303622601</v>
      </c>
      <c r="Z11" s="12">
        <v>0.107072789619193</v>
      </c>
      <c r="AA11" s="12">
        <v>1.44557418774481E-2</v>
      </c>
      <c r="AB11" s="12">
        <v>5.6911876382835201E-2</v>
      </c>
      <c r="AC11" s="20">
        <v>0.78716135470648496</v>
      </c>
      <c r="AD11" s="13">
        <v>-1.2729134229201353</v>
      </c>
      <c r="AE11" s="12">
        <v>1.3016832101837019</v>
      </c>
      <c r="AF11" s="12">
        <v>2.6170933891880104</v>
      </c>
      <c r="AG11" s="19">
        <f t="shared" si="0"/>
        <v>280.40616729510464</v>
      </c>
    </row>
    <row r="12" spans="1:33" ht="15" x14ac:dyDescent="0.2">
      <c r="A12" s="16" t="s">
        <v>49</v>
      </c>
      <c r="B12" s="7" t="s">
        <v>27</v>
      </c>
      <c r="C12" s="17"/>
      <c r="D12" s="9">
        <v>73.751999999999995</v>
      </c>
      <c r="E12" s="10">
        <v>0.81200000000000006</v>
      </c>
      <c r="F12" s="41">
        <v>28845.521021436787</v>
      </c>
      <c r="G12" s="6" t="s">
        <v>39</v>
      </c>
      <c r="H12" s="7" t="s">
        <v>40</v>
      </c>
      <c r="I12" s="11">
        <v>0.38563699340820301</v>
      </c>
      <c r="J12" s="12">
        <v>4.9306762766535499E-2</v>
      </c>
      <c r="K12" s="12">
        <v>2.3499875068430502E-3</v>
      </c>
      <c r="L12" s="12">
        <v>6.3665503835546894E-2</v>
      </c>
      <c r="M12" s="12">
        <v>5.4176856223556003E-2</v>
      </c>
      <c r="N12" s="12">
        <v>4.2530779645678203E-2</v>
      </c>
      <c r="O12" s="12">
        <v>1.7110753999775901</v>
      </c>
      <c r="P12" s="20">
        <v>1.9231052899557499</v>
      </c>
      <c r="Q12" s="12">
        <v>0.58012117250803397</v>
      </c>
      <c r="R12" s="12">
        <v>0.27678191372261202</v>
      </c>
      <c r="S12" s="12">
        <v>0.22092867258898399</v>
      </c>
      <c r="T12" s="12">
        <v>0.11421525041982</v>
      </c>
      <c r="U12" s="12">
        <v>4.2530779645678203E-2</v>
      </c>
      <c r="V12" s="12">
        <v>3.0499481952135801</v>
      </c>
      <c r="W12" s="20">
        <v>4.2845259840987104</v>
      </c>
      <c r="X12" s="12">
        <v>4.9306762766535499E-2</v>
      </c>
      <c r="Y12" s="12">
        <v>2.3499875068430502E-3</v>
      </c>
      <c r="Z12" s="12">
        <v>1.0992310022221301</v>
      </c>
      <c r="AA12" s="12">
        <v>7.9819651649790799</v>
      </c>
      <c r="AB12" s="12">
        <v>4.2530779645678203E-2</v>
      </c>
      <c r="AC12" s="20">
        <v>9.1753836971202603</v>
      </c>
      <c r="AD12" s="13">
        <v>4.8908577130215498</v>
      </c>
      <c r="AE12" s="12">
        <v>2.7072296586837385</v>
      </c>
      <c r="AF12" s="12">
        <v>0.466958780747603</v>
      </c>
      <c r="AG12" s="19">
        <f t="shared" si="0"/>
        <v>134.8241730542594</v>
      </c>
    </row>
    <row r="13" spans="1:33" ht="15" x14ac:dyDescent="0.2">
      <c r="A13" s="16" t="s">
        <v>50</v>
      </c>
      <c r="B13" s="7" t="s">
        <v>27</v>
      </c>
      <c r="C13" s="8">
        <v>66.099999999999994</v>
      </c>
      <c r="D13" s="9">
        <v>77.162999999999997</v>
      </c>
      <c r="E13" s="10">
        <v>0.85199999999999998</v>
      </c>
      <c r="F13" s="41">
        <v>21477.970657701197</v>
      </c>
      <c r="G13" s="6" t="s">
        <v>28</v>
      </c>
      <c r="H13" s="7" t="s">
        <v>40</v>
      </c>
      <c r="I13" s="11">
        <v>1.56944995117187</v>
      </c>
      <c r="J13" s="12">
        <v>6.8604555795891897E-3</v>
      </c>
      <c r="K13" s="12">
        <v>0</v>
      </c>
      <c r="L13" s="12">
        <v>1.7429520087743899E-3</v>
      </c>
      <c r="M13" s="12">
        <v>2.6571855504411501E-2</v>
      </c>
      <c r="N13" s="12">
        <v>6.9380979452403402E-2</v>
      </c>
      <c r="O13" s="12">
        <v>7.1870548517736799</v>
      </c>
      <c r="P13" s="20">
        <v>7.2916110943188501</v>
      </c>
      <c r="Q13" s="12">
        <v>0.59059167695326498</v>
      </c>
      <c r="R13" s="12">
        <v>0.30791473732531</v>
      </c>
      <c r="S13" s="12">
        <v>0.21972953752448199</v>
      </c>
      <c r="T13" s="12">
        <v>8.0237260499153501E-2</v>
      </c>
      <c r="U13" s="12">
        <v>6.9380979452403402E-2</v>
      </c>
      <c r="V13" s="12">
        <v>6.9050339139901302</v>
      </c>
      <c r="W13" s="20">
        <v>8.1728881057447396</v>
      </c>
      <c r="X13" s="12">
        <v>6.8604555795892001E-3</v>
      </c>
      <c r="Y13" s="12">
        <v>0</v>
      </c>
      <c r="Z13" s="12">
        <v>7.7537037049437004E-4</v>
      </c>
      <c r="AA13" s="12">
        <v>0.38824310553623498</v>
      </c>
      <c r="AB13" s="12">
        <v>6.9380979452403402E-2</v>
      </c>
      <c r="AC13" s="20">
        <v>0.46525991093872199</v>
      </c>
      <c r="AD13" s="13">
        <v>-7.7076281948060172</v>
      </c>
      <c r="AE13" s="12">
        <v>5.1641383805564907</v>
      </c>
      <c r="AF13" s="12">
        <v>17.566284808968135</v>
      </c>
      <c r="AG13" s="19">
        <f t="shared" si="0"/>
        <v>70.679748121053905</v>
      </c>
    </row>
    <row r="14" spans="1:33" ht="15" x14ac:dyDescent="0.2">
      <c r="A14" s="16" t="s">
        <v>51</v>
      </c>
      <c r="B14" s="7" t="s">
        <v>27</v>
      </c>
      <c r="C14" s="8">
        <v>63.5</v>
      </c>
      <c r="D14" s="9">
        <v>72.319999999999993</v>
      </c>
      <c r="E14" s="10">
        <v>0.625</v>
      </c>
      <c r="F14" s="41">
        <v>1202.1539624605737</v>
      </c>
      <c r="G14" s="6" t="s">
        <v>45</v>
      </c>
      <c r="H14" s="7" t="s">
        <v>29</v>
      </c>
      <c r="I14" s="11">
        <v>161.37700000000001</v>
      </c>
      <c r="J14" s="12">
        <v>0.27386259483557501</v>
      </c>
      <c r="K14" s="12">
        <v>3.1979456340595499E-3</v>
      </c>
      <c r="L14" s="12">
        <v>6.19307171747321E-2</v>
      </c>
      <c r="M14" s="12">
        <v>2.1760881738662499E-2</v>
      </c>
      <c r="N14" s="12">
        <v>8.1455843575681405E-2</v>
      </c>
      <c r="O14" s="12">
        <v>0.19177970559337301</v>
      </c>
      <c r="P14" s="20">
        <v>0.63398768855208398</v>
      </c>
      <c r="Q14" s="12">
        <v>0.38574816774973703</v>
      </c>
      <c r="R14" s="12">
        <v>5.44017943188014E-3</v>
      </c>
      <c r="S14" s="12">
        <v>8.1785110626089993E-2</v>
      </c>
      <c r="T14" s="12">
        <v>2.7004840026627602E-2</v>
      </c>
      <c r="U14" s="12">
        <v>8.1455843575681405E-2</v>
      </c>
      <c r="V14" s="12">
        <v>0.32246008592703801</v>
      </c>
      <c r="W14" s="20">
        <v>0.90389422733705405</v>
      </c>
      <c r="X14" s="12">
        <v>0.27386259483557501</v>
      </c>
      <c r="Y14" s="12">
        <v>3.1979456340595499E-3</v>
      </c>
      <c r="Z14" s="12">
        <v>5.1281314557453904E-3</v>
      </c>
      <c r="AA14" s="12">
        <v>5.12234233030412E-2</v>
      </c>
      <c r="AB14" s="12">
        <v>8.1455843575681405E-2</v>
      </c>
      <c r="AC14" s="20">
        <v>0.414867938804102</v>
      </c>
      <c r="AD14" s="13">
        <v>-0.48902628853295205</v>
      </c>
      <c r="AE14" s="12">
        <v>0.57113652003551896</v>
      </c>
      <c r="AF14" s="12">
        <v>2.1787517009451705</v>
      </c>
      <c r="AG14" s="21" t="str">
        <f t="shared" si="0"/>
        <v/>
      </c>
    </row>
    <row r="15" spans="1:33" ht="15" x14ac:dyDescent="0.2">
      <c r="A15" s="16" t="s">
        <v>52</v>
      </c>
      <c r="B15" s="7" t="s">
        <v>27</v>
      </c>
      <c r="C15" s="8">
        <v>68.400000000000006</v>
      </c>
      <c r="D15" s="9">
        <v>79.081000000000003</v>
      </c>
      <c r="E15" s="10">
        <v>0.81</v>
      </c>
      <c r="F15" s="41">
        <v>16136.910427427767</v>
      </c>
      <c r="G15" s="6" t="s">
        <v>39</v>
      </c>
      <c r="H15" s="7" t="s">
        <v>40</v>
      </c>
      <c r="I15" s="11">
        <v>0.286640991210937</v>
      </c>
      <c r="J15" s="12">
        <v>6.7419993280772098E-2</v>
      </c>
      <c r="K15" s="12">
        <v>3.1615928791527701E-3</v>
      </c>
      <c r="L15" s="12">
        <v>2.0765336093796799E-2</v>
      </c>
      <c r="M15" s="12">
        <v>7.2331936705349598E-2</v>
      </c>
      <c r="N15" s="12">
        <v>5.4271660452771001E-2</v>
      </c>
      <c r="O15" s="12">
        <v>1.68619989634865</v>
      </c>
      <c r="P15" s="20">
        <v>1.90415041576049</v>
      </c>
      <c r="Q15" s="12">
        <v>0.57568741058207296</v>
      </c>
      <c r="R15" s="12">
        <v>0.28312838108138799</v>
      </c>
      <c r="S15" s="12">
        <v>0.12874508023116499</v>
      </c>
      <c r="T15" s="12">
        <v>0.27211333158884699</v>
      </c>
      <c r="U15" s="12">
        <v>5.4271660452771001E-2</v>
      </c>
      <c r="V15" s="12">
        <v>2.6557092047822701</v>
      </c>
      <c r="W15" s="20">
        <v>3.9696550687185201</v>
      </c>
      <c r="X15" s="12">
        <v>6.7419993280772098E-2</v>
      </c>
      <c r="Y15" s="12">
        <v>3.1615928791527701E-3</v>
      </c>
      <c r="Z15" s="12">
        <v>1.8273383452656399E-2</v>
      </c>
      <c r="AA15" s="12">
        <v>4.3039481970127101E-2</v>
      </c>
      <c r="AB15" s="12">
        <v>5.4271660452771001E-2</v>
      </c>
      <c r="AC15" s="20">
        <v>0.186166112035479</v>
      </c>
      <c r="AD15" s="13">
        <v>-3.783488956683041</v>
      </c>
      <c r="AE15" s="12">
        <v>2.5082746555077069</v>
      </c>
      <c r="AF15" s="12">
        <v>21.323188336027528</v>
      </c>
      <c r="AG15" s="19">
        <f t="shared" si="0"/>
        <v>145.51835429925012</v>
      </c>
    </row>
    <row r="16" spans="1:33" ht="15" x14ac:dyDescent="0.2">
      <c r="A16" s="16" t="s">
        <v>53</v>
      </c>
      <c r="B16" s="7" t="s">
        <v>27</v>
      </c>
      <c r="C16" s="8">
        <v>78.8</v>
      </c>
      <c r="D16" s="9">
        <v>74.175600000000003</v>
      </c>
      <c r="E16" s="10">
        <v>0.82299999999999995</v>
      </c>
      <c r="F16" s="41">
        <v>6607.8081236363487</v>
      </c>
      <c r="G16" s="6" t="s">
        <v>31</v>
      </c>
      <c r="H16" s="7" t="s">
        <v>32</v>
      </c>
      <c r="I16" s="11">
        <v>9.4526201171875091</v>
      </c>
      <c r="J16" s="12">
        <v>0.85481881326357501</v>
      </c>
      <c r="K16" s="12">
        <v>0.249903134506054</v>
      </c>
      <c r="L16" s="12">
        <v>1.68479136889059</v>
      </c>
      <c r="M16" s="12">
        <v>3.5111928694054099E-4</v>
      </c>
      <c r="N16" s="12">
        <v>4.9761523539828802E-2</v>
      </c>
      <c r="O16" s="12">
        <v>2.2631021930778101</v>
      </c>
      <c r="P16" s="20">
        <v>5.1027281525647901</v>
      </c>
      <c r="Q16" s="12">
        <v>0.71321830185143098</v>
      </c>
      <c r="R16" s="12">
        <v>0.12449600321766199</v>
      </c>
      <c r="S16" s="12">
        <v>1.31742152829632</v>
      </c>
      <c r="T16" s="12">
        <v>7.1346130325227394E-2</v>
      </c>
      <c r="U16" s="12">
        <v>4.9761523539828802E-2</v>
      </c>
      <c r="V16" s="12">
        <v>2.1267353625947401</v>
      </c>
      <c r="W16" s="20">
        <v>4.4029788498251996</v>
      </c>
      <c r="X16" s="12">
        <v>0.85481881326357501</v>
      </c>
      <c r="Y16" s="12">
        <v>0.249903134506054</v>
      </c>
      <c r="Z16" s="12">
        <v>1.6850848998791399</v>
      </c>
      <c r="AA16" s="12">
        <v>1.7814600138721898E-2</v>
      </c>
      <c r="AB16" s="12">
        <v>4.9761523539828802E-2</v>
      </c>
      <c r="AC16" s="20">
        <v>2.8573829713273202</v>
      </c>
      <c r="AD16" s="13">
        <v>-1.5455958784978794</v>
      </c>
      <c r="AE16" s="12">
        <v>2.7820755371872137</v>
      </c>
      <c r="AF16" s="12">
        <v>1.5409130991565736</v>
      </c>
      <c r="AG16" s="19">
        <f t="shared" si="0"/>
        <v>131.19701284927336</v>
      </c>
    </row>
    <row r="17" spans="1:33" ht="15" x14ac:dyDescent="0.2">
      <c r="A17" s="16" t="s">
        <v>54</v>
      </c>
      <c r="B17" s="7" t="s">
        <v>27</v>
      </c>
      <c r="C17" s="8">
        <v>82.2</v>
      </c>
      <c r="D17" s="9">
        <v>81.595100000000002</v>
      </c>
      <c r="E17" s="10">
        <v>0.93</v>
      </c>
      <c r="F17" s="41">
        <v>46768.040172233705</v>
      </c>
      <c r="G17" s="6" t="s">
        <v>47</v>
      </c>
      <c r="H17" s="7" t="s">
        <v>40</v>
      </c>
      <c r="I17" s="11">
        <v>11.4822001953124</v>
      </c>
      <c r="J17" s="12">
        <v>0.29076289937620298</v>
      </c>
      <c r="K17" s="12">
        <v>3.3216934128541403E-2</v>
      </c>
      <c r="L17" s="12">
        <v>0.29037777940345499</v>
      </c>
      <c r="M17" s="12">
        <v>1.3942881987501699E-2</v>
      </c>
      <c r="N17" s="12">
        <v>0.13377970354177199</v>
      </c>
      <c r="O17" s="12">
        <v>2.8946679469226999</v>
      </c>
      <c r="P17" s="20">
        <v>3.65674814536017</v>
      </c>
      <c r="Q17" s="12">
        <v>1.10036583034798</v>
      </c>
      <c r="R17" s="12">
        <v>0.40878167599332599</v>
      </c>
      <c r="S17" s="12">
        <v>0.564127271155203</v>
      </c>
      <c r="T17" s="12">
        <v>9.4978505365771002E-2</v>
      </c>
      <c r="U17" s="12">
        <v>0.13377970354177199</v>
      </c>
      <c r="V17" s="12">
        <v>4.5636006684140797</v>
      </c>
      <c r="W17" s="20">
        <v>6.8656336548181303</v>
      </c>
      <c r="X17" s="12">
        <v>0.29076289937620298</v>
      </c>
      <c r="Y17" s="12">
        <v>3.3216934128541403E-2</v>
      </c>
      <c r="Z17" s="12">
        <v>0.26228512985444702</v>
      </c>
      <c r="AA17" s="12">
        <v>4.1856057486716801E-2</v>
      </c>
      <c r="AB17" s="12">
        <v>0.13377970354177199</v>
      </c>
      <c r="AC17" s="20">
        <v>0.76190072438767997</v>
      </c>
      <c r="AD17" s="13">
        <v>-6.10373293043045</v>
      </c>
      <c r="AE17" s="12">
        <v>4.3381338157272937</v>
      </c>
      <c r="AF17" s="12">
        <v>9.011191924428033</v>
      </c>
      <c r="AG17" s="19">
        <f t="shared" si="0"/>
        <v>84.137561334955564</v>
      </c>
    </row>
    <row r="18" spans="1:33" ht="15" x14ac:dyDescent="0.2">
      <c r="A18" s="16" t="s">
        <v>55</v>
      </c>
      <c r="B18" s="7" t="s">
        <v>56</v>
      </c>
      <c r="C18" s="8">
        <v>64.400000000000006</v>
      </c>
      <c r="D18" s="9">
        <v>74.495999999999995</v>
      </c>
      <c r="E18" s="10">
        <v>0.71399999999999997</v>
      </c>
      <c r="F18" s="41">
        <v>4217.2076175280645</v>
      </c>
      <c r="G18" s="6" t="s">
        <v>39</v>
      </c>
      <c r="H18" s="7" t="s">
        <v>32</v>
      </c>
      <c r="I18" s="11">
        <v>0.38307101440429603</v>
      </c>
      <c r="J18" s="12">
        <v>0.50800129912619796</v>
      </c>
      <c r="K18" s="12">
        <v>0.19424582282946701</v>
      </c>
      <c r="L18" s="12">
        <v>0.19832690916187901</v>
      </c>
      <c r="M18" s="12">
        <v>5.2043066409715601</v>
      </c>
      <c r="N18" s="12">
        <v>5.2241685866070205E-4</v>
      </c>
      <c r="O18" s="12">
        <v>0.37670238149833801</v>
      </c>
      <c r="P18" s="20">
        <v>6.4821054704460996</v>
      </c>
      <c r="Q18" s="12">
        <v>0.50799084710428599</v>
      </c>
      <c r="R18" s="12">
        <v>0.27498504793384498</v>
      </c>
      <c r="S18" s="12">
        <v>0.303776999593317</v>
      </c>
      <c r="T18" s="12">
        <v>5.1443928631824196</v>
      </c>
      <c r="U18" s="12">
        <v>5.2241685866070205E-4</v>
      </c>
      <c r="V18" s="12">
        <v>1.64079204470191</v>
      </c>
      <c r="W18" s="20">
        <v>7.8724602193744397</v>
      </c>
      <c r="X18" s="12">
        <v>0.50800129912619796</v>
      </c>
      <c r="Y18" s="12">
        <v>0.19424582282946701</v>
      </c>
      <c r="Z18" s="12">
        <v>1.8750700064813199</v>
      </c>
      <c r="AA18" s="12">
        <v>0.936025179782358</v>
      </c>
      <c r="AB18" s="12">
        <v>5.2241685866070205E-4</v>
      </c>
      <c r="AC18" s="20">
        <v>3.51386472507801</v>
      </c>
      <c r="AD18" s="13">
        <v>-4.3585954942964298</v>
      </c>
      <c r="AE18" s="12">
        <v>4.9743093802666403</v>
      </c>
      <c r="AF18" s="12">
        <v>2.2403993424077151</v>
      </c>
      <c r="AG18" s="19">
        <f t="shared" si="0"/>
        <v>73.377020224752229</v>
      </c>
    </row>
    <row r="19" spans="1:33" ht="15" x14ac:dyDescent="0.2">
      <c r="A19" s="16" t="s">
        <v>57</v>
      </c>
      <c r="B19" s="7" t="s">
        <v>27</v>
      </c>
      <c r="C19" s="8">
        <v>49.9</v>
      </c>
      <c r="D19" s="9">
        <v>61.47</v>
      </c>
      <c r="E19" s="10">
        <v>0.54100000000000004</v>
      </c>
      <c r="F19" s="41">
        <v>1211.3191118850782</v>
      </c>
      <c r="G19" s="6" t="s">
        <v>34</v>
      </c>
      <c r="H19" s="7" t="s">
        <v>29</v>
      </c>
      <c r="I19" s="11">
        <v>11.4849999999999</v>
      </c>
      <c r="J19" s="12">
        <v>0.60754181656088702</v>
      </c>
      <c r="K19" s="12">
        <v>3.2145828445931002E-2</v>
      </c>
      <c r="L19" s="12">
        <v>0.239971029286664</v>
      </c>
      <c r="M19" s="12">
        <v>4.0518941462872E-2</v>
      </c>
      <c r="N19" s="12">
        <v>5.2606866989111697E-2</v>
      </c>
      <c r="O19" s="12">
        <v>0.23366036631984399</v>
      </c>
      <c r="P19" s="20">
        <v>1.2064448490653099</v>
      </c>
      <c r="Q19" s="12">
        <v>0.77817350428019305</v>
      </c>
      <c r="R19" s="12">
        <v>3.5592712928768401E-2</v>
      </c>
      <c r="S19" s="12">
        <v>0.236790878530307</v>
      </c>
      <c r="T19" s="12">
        <v>0.106953092506193</v>
      </c>
      <c r="U19" s="12">
        <v>5.2606866989111697E-2</v>
      </c>
      <c r="V19" s="12">
        <v>0.39732221015671099</v>
      </c>
      <c r="W19" s="20">
        <v>1.6074392653912899</v>
      </c>
      <c r="X19" s="12">
        <v>0.60754181656088702</v>
      </c>
      <c r="Y19" s="12">
        <v>3.2145828445931002E-2</v>
      </c>
      <c r="Z19" s="12">
        <v>0.207890885071152</v>
      </c>
      <c r="AA19" s="12">
        <v>1.9640984420730201E-2</v>
      </c>
      <c r="AB19" s="12">
        <v>5.2606866989111697E-2</v>
      </c>
      <c r="AC19" s="20">
        <v>0.91982638148781204</v>
      </c>
      <c r="AD19" s="13">
        <v>-0.68761288390347786</v>
      </c>
      <c r="AE19" s="12">
        <v>1.0156799771901777</v>
      </c>
      <c r="AF19" s="12">
        <v>1.7475463823849773</v>
      </c>
      <c r="AG19" s="19">
        <f t="shared" si="0"/>
        <v>359.36516244984199</v>
      </c>
    </row>
    <row r="20" spans="1:33" ht="15" x14ac:dyDescent="0.2">
      <c r="A20" s="16" t="s">
        <v>58</v>
      </c>
      <c r="B20" s="7" t="s">
        <v>27</v>
      </c>
      <c r="C20" s="8">
        <v>70</v>
      </c>
      <c r="D20" s="9">
        <v>71.459999999999994</v>
      </c>
      <c r="E20" s="10">
        <v>0.64900000000000002</v>
      </c>
      <c r="F20" s="41">
        <v>3128.8541154846575</v>
      </c>
      <c r="G20" s="6" t="s">
        <v>45</v>
      </c>
      <c r="H20" s="7" t="s">
        <v>36</v>
      </c>
      <c r="I20" s="11">
        <v>0.75438800048828103</v>
      </c>
      <c r="J20" s="12">
        <v>0.22388674988497101</v>
      </c>
      <c r="K20" s="12">
        <v>0.30277171735274899</v>
      </c>
      <c r="L20" s="12">
        <v>2.7328377223365101</v>
      </c>
      <c r="M20" s="12">
        <v>2.4048718991862802E-6</v>
      </c>
      <c r="N20" s="12">
        <v>0.21432925287391</v>
      </c>
      <c r="O20" s="12">
        <v>0.79620931553408902</v>
      </c>
      <c r="P20" s="20">
        <v>4.2700371628541296</v>
      </c>
      <c r="Q20" s="12">
        <v>0.54112660077974295</v>
      </c>
      <c r="R20" s="12">
        <v>0.37914170124014102</v>
      </c>
      <c r="S20" s="12">
        <v>2.79280963330095</v>
      </c>
      <c r="T20" s="12">
        <v>2.9222167392658299E-2</v>
      </c>
      <c r="U20" s="12">
        <v>0.21432925287391</v>
      </c>
      <c r="V20" s="12">
        <v>1.2021402828436201</v>
      </c>
      <c r="W20" s="20">
        <v>5.1587696384310204</v>
      </c>
      <c r="X20" s="12">
        <v>0.22388674988497101</v>
      </c>
      <c r="Y20" s="12">
        <v>0.33984018318647502</v>
      </c>
      <c r="Z20" s="12">
        <v>4.1873200869639602</v>
      </c>
      <c r="AA20" s="12">
        <v>1.2079015675458301E-2</v>
      </c>
      <c r="AB20" s="12">
        <v>0.21432925287391</v>
      </c>
      <c r="AC20" s="20">
        <v>4.97745528858478</v>
      </c>
      <c r="AD20" s="13">
        <v>-0.1813143498462404</v>
      </c>
      <c r="AE20" s="12">
        <v>3.259631104890012</v>
      </c>
      <c r="AF20" s="12">
        <v>1.0364271177406785</v>
      </c>
      <c r="AG20" s="19">
        <f t="shared" si="0"/>
        <v>111.97586114957508</v>
      </c>
    </row>
    <row r="21" spans="1:33" ht="15" x14ac:dyDescent="0.2">
      <c r="A21" s="16" t="s">
        <v>59</v>
      </c>
      <c r="B21" s="7" t="s">
        <v>27</v>
      </c>
      <c r="C21" s="8">
        <v>67.599999999999994</v>
      </c>
      <c r="D21" s="9">
        <v>71.239000000000004</v>
      </c>
      <c r="E21" s="10">
        <v>0.71399999999999997</v>
      </c>
      <c r="F21" s="41">
        <v>2559.5212761107537</v>
      </c>
      <c r="G21" s="6" t="s">
        <v>42</v>
      </c>
      <c r="H21" s="7" t="s">
        <v>36</v>
      </c>
      <c r="I21" s="11">
        <v>11.353099609375001</v>
      </c>
      <c r="J21" s="12">
        <v>0.63929496525561902</v>
      </c>
      <c r="K21" s="12">
        <v>1.6154630861801</v>
      </c>
      <c r="L21" s="12">
        <v>0.172084704982988</v>
      </c>
      <c r="M21" s="12">
        <v>9.9245935972918893E-4</v>
      </c>
      <c r="N21" s="12">
        <v>6.4749612774287202E-2</v>
      </c>
      <c r="O21" s="12">
        <v>0.69736534105785997</v>
      </c>
      <c r="P21" s="20">
        <v>3.1899501696105901</v>
      </c>
      <c r="Q21" s="12">
        <v>0.47611157497658502</v>
      </c>
      <c r="R21" s="12">
        <v>1.6071417729115201</v>
      </c>
      <c r="S21" s="12">
        <v>0.201783008850206</v>
      </c>
      <c r="T21" s="12">
        <v>9.4943153191506292E-3</v>
      </c>
      <c r="U21" s="12">
        <v>6.4749612774287202E-2</v>
      </c>
      <c r="V21" s="12">
        <v>0.74922175814325698</v>
      </c>
      <c r="W21" s="20">
        <v>3.1085020429750001</v>
      </c>
      <c r="X21" s="12">
        <v>0.63929496525561902</v>
      </c>
      <c r="Y21" s="12">
        <v>2.0128630380347499</v>
      </c>
      <c r="Z21" s="12">
        <v>11.479650112548599</v>
      </c>
      <c r="AA21" s="12">
        <v>4.9056347991336499E-2</v>
      </c>
      <c r="AB21" s="12">
        <v>6.4749612774287202E-2</v>
      </c>
      <c r="AC21" s="20">
        <v>14.2456140766046</v>
      </c>
      <c r="AD21" s="13">
        <v>11.137112033629599</v>
      </c>
      <c r="AE21" s="12">
        <v>1.9641446815944978</v>
      </c>
      <c r="AF21" s="12">
        <v>0.21820765509014142</v>
      </c>
      <c r="AG21" s="19">
        <f t="shared" si="0"/>
        <v>185.83152423562404</v>
      </c>
    </row>
    <row r="22" spans="1:33" ht="15" x14ac:dyDescent="0.2">
      <c r="A22" s="16" t="s">
        <v>60</v>
      </c>
      <c r="B22" s="7" t="s">
        <v>27</v>
      </c>
      <c r="C22" s="8">
        <v>73.7</v>
      </c>
      <c r="D22" s="9">
        <v>77.262</v>
      </c>
      <c r="E22" s="10">
        <v>0.77700000000000002</v>
      </c>
      <c r="F22" s="41">
        <v>6096.909506752836</v>
      </c>
      <c r="G22" s="6" t="s">
        <v>31</v>
      </c>
      <c r="H22" s="7" t="s">
        <v>32</v>
      </c>
      <c r="I22" s="11">
        <v>3.3239299316406199</v>
      </c>
      <c r="J22" s="12">
        <v>0.47034341512515498</v>
      </c>
      <c r="K22" s="12">
        <v>0.196021949173563</v>
      </c>
      <c r="L22" s="12">
        <v>0.81496216909461405</v>
      </c>
      <c r="M22" s="12">
        <v>1.39715130083362E-4</v>
      </c>
      <c r="N22" s="12">
        <v>3.0486172854226799E-2</v>
      </c>
      <c r="O22" s="12">
        <v>2.39956390420984</v>
      </c>
      <c r="P22" s="20">
        <v>3.91151732558748</v>
      </c>
      <c r="Q22" s="12">
        <v>0.86458933067100996</v>
      </c>
      <c r="R22" s="12">
        <v>0.37274217447691699</v>
      </c>
      <c r="S22" s="12">
        <v>0.635469037125028</v>
      </c>
      <c r="T22" s="12">
        <v>2.5376599572528798E-2</v>
      </c>
      <c r="U22" s="12">
        <v>3.0486172854226799E-2</v>
      </c>
      <c r="V22" s="12">
        <v>1.9635696230856201</v>
      </c>
      <c r="W22" s="20">
        <v>3.8922329377853302</v>
      </c>
      <c r="X22" s="12">
        <v>0.47034341512515498</v>
      </c>
      <c r="Y22" s="12">
        <v>0.241145428964578</v>
      </c>
      <c r="Z22" s="12">
        <v>1.2534349312609501</v>
      </c>
      <c r="AA22" s="12">
        <v>3.9019830093830199E-3</v>
      </c>
      <c r="AB22" s="12">
        <v>3.0486172854226799E-2</v>
      </c>
      <c r="AC22" s="20">
        <v>1.99931193121429</v>
      </c>
      <c r="AD22" s="13">
        <v>-1.8929210065710402</v>
      </c>
      <c r="AE22" s="12">
        <v>2.4593545439530753</v>
      </c>
      <c r="AF22" s="12">
        <v>1.9467862303114287</v>
      </c>
      <c r="AG22" s="19">
        <f t="shared" si="0"/>
        <v>148.41292439816851</v>
      </c>
    </row>
    <row r="23" spans="1:33" ht="15" x14ac:dyDescent="0.2">
      <c r="A23" s="16" t="s">
        <v>61</v>
      </c>
      <c r="B23" s="7" t="s">
        <v>27</v>
      </c>
      <c r="C23" s="8">
        <v>61.9</v>
      </c>
      <c r="D23" s="9">
        <v>69.275000000000006</v>
      </c>
      <c r="E23" s="10">
        <v>0.73</v>
      </c>
      <c r="F23" s="41">
        <v>8032.8913702221353</v>
      </c>
      <c r="G23" s="6" t="s">
        <v>34</v>
      </c>
      <c r="H23" s="7" t="s">
        <v>32</v>
      </c>
      <c r="I23" s="11">
        <v>2.2540700683593697</v>
      </c>
      <c r="J23" s="12">
        <v>5.9231326829671901E-2</v>
      </c>
      <c r="K23" s="12">
        <v>0.53888554072689598</v>
      </c>
      <c r="L23" s="12">
        <v>0.14934730659795101</v>
      </c>
      <c r="M23" s="12">
        <v>7.3457261338768304E-6</v>
      </c>
      <c r="N23" s="12">
        <v>2.9193166029377202E-2</v>
      </c>
      <c r="O23" s="12">
        <v>1.1066660115082601</v>
      </c>
      <c r="P23" s="20">
        <v>1.88333069741829</v>
      </c>
      <c r="Q23" s="12">
        <v>0.30404537493934902</v>
      </c>
      <c r="R23" s="12">
        <v>7.8363411089657595E-2</v>
      </c>
      <c r="S23" s="12">
        <v>0.21929839745006399</v>
      </c>
      <c r="T23" s="12">
        <v>9.4876226290144805E-3</v>
      </c>
      <c r="U23" s="12">
        <v>2.9193166029377202E-2</v>
      </c>
      <c r="V23" s="12">
        <v>1.72886788445757</v>
      </c>
      <c r="W23" s="20">
        <v>2.3692558565950299</v>
      </c>
      <c r="X23" s="12">
        <v>5.9231326829671901E-2</v>
      </c>
      <c r="Y23" s="12">
        <v>2.2114533724577301</v>
      </c>
      <c r="Z23" s="12">
        <v>0.75982642140910295</v>
      </c>
      <c r="AA23" s="12">
        <v>0.24255495721767001</v>
      </c>
      <c r="AB23" s="12">
        <v>2.9193166029377202E-2</v>
      </c>
      <c r="AC23" s="20">
        <v>3.3022592439435599</v>
      </c>
      <c r="AD23" s="13">
        <v>0.93300338734852994</v>
      </c>
      <c r="AE23" s="12">
        <v>1.4970430212791628</v>
      </c>
      <c r="AF23" s="12">
        <v>0.71746512965034903</v>
      </c>
      <c r="AG23" s="19">
        <f t="shared" si="0"/>
        <v>243.8139684777544</v>
      </c>
    </row>
    <row r="24" spans="1:33" ht="15" x14ac:dyDescent="0.2">
      <c r="A24" s="16" t="s">
        <v>62</v>
      </c>
      <c r="B24" s="7" t="s">
        <v>27</v>
      </c>
      <c r="C24" s="8">
        <v>71.3</v>
      </c>
      <c r="D24" s="9">
        <v>75.671999999999997</v>
      </c>
      <c r="E24" s="10">
        <v>0.76200000000000001</v>
      </c>
      <c r="F24" s="41">
        <v>11075.624555423476</v>
      </c>
      <c r="G24" s="6" t="s">
        <v>42</v>
      </c>
      <c r="H24" s="7" t="s">
        <v>32</v>
      </c>
      <c r="I24" s="11">
        <v>209.46899999999999</v>
      </c>
      <c r="J24" s="12">
        <v>1.1786468310279601</v>
      </c>
      <c r="K24" s="12">
        <v>0.81908964233782</v>
      </c>
      <c r="L24" s="12">
        <v>0.74590082267796698</v>
      </c>
      <c r="M24" s="12">
        <v>3.1474310395961803E-2</v>
      </c>
      <c r="N24" s="12">
        <v>0.128556159500955</v>
      </c>
      <c r="O24" s="12">
        <v>0.73037163362521995</v>
      </c>
      <c r="P24" s="20">
        <v>3.63403939956588</v>
      </c>
      <c r="Q24" s="12">
        <v>0.59346296379042096</v>
      </c>
      <c r="R24" s="12">
        <v>0.65606224553835701</v>
      </c>
      <c r="S24" s="12">
        <v>0.46556871526504101</v>
      </c>
      <c r="T24" s="12">
        <v>4.0953293152026199E-2</v>
      </c>
      <c r="U24" s="12">
        <v>0.128556159500955</v>
      </c>
      <c r="V24" s="12">
        <v>0.70335580784831198</v>
      </c>
      <c r="W24" s="20">
        <v>2.58795918509511</v>
      </c>
      <c r="X24" s="12">
        <v>1.1786468310279601</v>
      </c>
      <c r="Y24" s="12">
        <v>0.81908964233782</v>
      </c>
      <c r="Z24" s="12">
        <v>6.3216536706939603</v>
      </c>
      <c r="AA24" s="12">
        <v>0.16141417675491701</v>
      </c>
      <c r="AB24" s="12">
        <v>0.128556159500955</v>
      </c>
      <c r="AC24" s="20">
        <v>8.6093604803156101</v>
      </c>
      <c r="AD24" s="13">
        <v>6.0214012952204996</v>
      </c>
      <c r="AE24" s="12">
        <v>1.6352333694216818</v>
      </c>
      <c r="AF24" s="12">
        <v>0.30059830704176044</v>
      </c>
      <c r="AG24" s="19">
        <f t="shared" si="0"/>
        <v>223.20973068760591</v>
      </c>
    </row>
    <row r="25" spans="1:33" ht="15" x14ac:dyDescent="0.2">
      <c r="A25" s="16" t="s">
        <v>63</v>
      </c>
      <c r="B25" s="7" t="s">
        <v>27</v>
      </c>
      <c r="C25" s="8">
        <v>68.3</v>
      </c>
      <c r="D25" s="9">
        <v>75.721999999999994</v>
      </c>
      <c r="E25" s="10">
        <v>0.83599999999999997</v>
      </c>
      <c r="F25" s="41">
        <v>31436.74303121887</v>
      </c>
      <c r="G25" s="6" t="s">
        <v>45</v>
      </c>
      <c r="H25" s="7" t="s">
        <v>40</v>
      </c>
      <c r="I25" s="11">
        <v>0.42896301269531195</v>
      </c>
      <c r="J25" s="12">
        <v>1.5183683548441299E-2</v>
      </c>
      <c r="K25" s="12">
        <v>1.05423539844249E-2</v>
      </c>
      <c r="L25" s="12">
        <v>0.13867040896583699</v>
      </c>
      <c r="M25" s="12">
        <v>0.25255880289059501</v>
      </c>
      <c r="N25" s="12">
        <v>2.1859949811283499E-2</v>
      </c>
      <c r="O25" s="12">
        <v>5.7718615277540204</v>
      </c>
      <c r="P25" s="20">
        <v>6.2106767269545999</v>
      </c>
      <c r="Q25" s="12">
        <v>0.52017643249779599</v>
      </c>
      <c r="R25" s="12">
        <v>0.28717600603825899</v>
      </c>
      <c r="S25" s="12">
        <v>0.20232303926334499</v>
      </c>
      <c r="T25" s="12">
        <v>0.41711947167524499</v>
      </c>
      <c r="U25" s="12">
        <v>2.1859949811283499E-2</v>
      </c>
      <c r="V25" s="12">
        <v>3.9667140484411099</v>
      </c>
      <c r="W25" s="20">
        <v>5.4153689477270301</v>
      </c>
      <c r="X25" s="12">
        <v>1.5183683548441299E-2</v>
      </c>
      <c r="Y25" s="12">
        <v>1.05423539844249E-2</v>
      </c>
      <c r="Z25" s="12">
        <v>1.4690918447575101</v>
      </c>
      <c r="AA25" s="12">
        <v>1.1955771272347699</v>
      </c>
      <c r="AB25" s="12">
        <v>2.1859949811283499E-2</v>
      </c>
      <c r="AC25" s="20">
        <v>2.71225495933643</v>
      </c>
      <c r="AD25" s="13">
        <v>-2.7031139883906001</v>
      </c>
      <c r="AE25" s="12">
        <v>3.4217664876843004</v>
      </c>
      <c r="AF25" s="12">
        <v>1.9966297523341736</v>
      </c>
      <c r="AG25" s="19">
        <f t="shared" si="0"/>
        <v>106.67004931917953</v>
      </c>
    </row>
    <row r="26" spans="1:33" ht="15" x14ac:dyDescent="0.2">
      <c r="A26" s="16" t="s">
        <v>64</v>
      </c>
      <c r="B26" s="7" t="s">
        <v>56</v>
      </c>
      <c r="C26" s="8">
        <v>73.8</v>
      </c>
      <c r="D26" s="9">
        <v>74.963399999999993</v>
      </c>
      <c r="E26" s="10">
        <v>0.81299999999999994</v>
      </c>
      <c r="F26" s="41">
        <v>8642.0407795565734</v>
      </c>
      <c r="G26" s="6" t="s">
        <v>47</v>
      </c>
      <c r="H26" s="7" t="s">
        <v>32</v>
      </c>
      <c r="I26" s="11">
        <v>7.0516098632812598</v>
      </c>
      <c r="J26" s="12">
        <v>1.71355072899917</v>
      </c>
      <c r="K26" s="12">
        <v>8.3753514973288007E-2</v>
      </c>
      <c r="L26" s="12">
        <v>0.51453179973847096</v>
      </c>
      <c r="M26" s="12">
        <v>2.6681767522604501E-3</v>
      </c>
      <c r="N26" s="12">
        <v>0.17156041920305901</v>
      </c>
      <c r="O26" s="12">
        <v>2.1058242585757001</v>
      </c>
      <c r="P26" s="20">
        <v>4.5918888982419501</v>
      </c>
      <c r="Q26" s="12">
        <v>0.70683098296545099</v>
      </c>
      <c r="R26" s="12">
        <v>0.17906275807689701</v>
      </c>
      <c r="S26" s="12">
        <v>0.46217225595969802</v>
      </c>
      <c r="T26" s="12">
        <v>3.70032196849953E-2</v>
      </c>
      <c r="U26" s="12">
        <v>0.17156041920305901</v>
      </c>
      <c r="V26" s="12">
        <v>2.0644402431787801</v>
      </c>
      <c r="W26" s="20">
        <v>3.6210698790688798</v>
      </c>
      <c r="X26" s="12">
        <v>1.71355072899917</v>
      </c>
      <c r="Y26" s="12">
        <v>9.0382056128242697E-2</v>
      </c>
      <c r="Z26" s="12">
        <v>1.1781054542068099</v>
      </c>
      <c r="AA26" s="12">
        <v>0.12270374230177999</v>
      </c>
      <c r="AB26" s="12">
        <v>0.17156041920305901</v>
      </c>
      <c r="AC26" s="20">
        <v>3.27630240083906</v>
      </c>
      <c r="AD26" s="13">
        <v>-0.34476747822981979</v>
      </c>
      <c r="AE26" s="12">
        <v>2.288016879618429</v>
      </c>
      <c r="AF26" s="12">
        <v>1.105230664343293</v>
      </c>
      <c r="AG26" s="19">
        <f t="shared" si="0"/>
        <v>159.52679512612283</v>
      </c>
    </row>
    <row r="27" spans="1:33" ht="15" x14ac:dyDescent="0.2">
      <c r="A27" s="16" t="s">
        <v>65</v>
      </c>
      <c r="B27" s="7" t="s">
        <v>27</v>
      </c>
      <c r="C27" s="8">
        <v>53.5</v>
      </c>
      <c r="D27" s="9">
        <v>61.173999999999999</v>
      </c>
      <c r="E27" s="10">
        <v>0.443</v>
      </c>
      <c r="F27" s="41">
        <v>800.31390021011066</v>
      </c>
      <c r="G27" s="6" t="s">
        <v>34</v>
      </c>
      <c r="H27" s="7" t="s">
        <v>29</v>
      </c>
      <c r="I27" s="11">
        <v>19.7515</v>
      </c>
      <c r="J27" s="12">
        <v>0.54819521643146896</v>
      </c>
      <c r="K27" s="12">
        <v>0.14187159228344401</v>
      </c>
      <c r="L27" s="12">
        <v>0.31214920623696002</v>
      </c>
      <c r="M27" s="12">
        <v>4.1768935747058802E-3</v>
      </c>
      <c r="N27" s="12">
        <v>7.1564097313205496E-2</v>
      </c>
      <c r="O27" s="12">
        <v>7.8631535911158998E-2</v>
      </c>
      <c r="P27" s="20">
        <v>1.1565885417509401</v>
      </c>
      <c r="Q27" s="12">
        <v>0.49884640171204803</v>
      </c>
      <c r="R27" s="12">
        <v>0.141710294635151</v>
      </c>
      <c r="S27" s="12">
        <v>0.31328414557088602</v>
      </c>
      <c r="T27" s="12">
        <v>4.6789391488240399E-2</v>
      </c>
      <c r="U27" s="12">
        <v>7.1564097313205496E-2</v>
      </c>
      <c r="V27" s="12">
        <v>0.18909187486315299</v>
      </c>
      <c r="W27" s="20">
        <v>1.2612862055826799</v>
      </c>
      <c r="X27" s="12">
        <v>0.54819521643146896</v>
      </c>
      <c r="Y27" s="12">
        <v>0.14187159228344401</v>
      </c>
      <c r="Z27" s="12">
        <v>0.23601606629813501</v>
      </c>
      <c r="AA27" s="12">
        <v>1.14413669435352E-3</v>
      </c>
      <c r="AB27" s="12">
        <v>7.1564097313205496E-2</v>
      </c>
      <c r="AC27" s="20">
        <v>0.99879110902060597</v>
      </c>
      <c r="AD27" s="13">
        <v>-0.26249509656207393</v>
      </c>
      <c r="AE27" s="12">
        <v>0.79695897201108867</v>
      </c>
      <c r="AF27" s="12">
        <v>1.2628128085956545</v>
      </c>
      <c r="AG27" s="21" t="str">
        <f t="shared" si="0"/>
        <v/>
      </c>
    </row>
    <row r="28" spans="1:33" ht="15" x14ac:dyDescent="0.2">
      <c r="A28" s="16" t="s">
        <v>66</v>
      </c>
      <c r="B28" s="7" t="s">
        <v>27</v>
      </c>
      <c r="C28" s="8">
        <v>51.8</v>
      </c>
      <c r="D28" s="9">
        <v>61.247</v>
      </c>
      <c r="E28" s="10">
        <v>0.43099999999999999</v>
      </c>
      <c r="F28" s="41">
        <v>210.80408018099374</v>
      </c>
      <c r="G28" s="6" t="s">
        <v>34</v>
      </c>
      <c r="H28" s="7" t="s">
        <v>29</v>
      </c>
      <c r="I28" s="11">
        <v>11.175400390624899</v>
      </c>
      <c r="J28" s="12">
        <v>0.40063826809078101</v>
      </c>
      <c r="K28" s="12">
        <v>5.8213734235994699E-2</v>
      </c>
      <c r="L28" s="12">
        <v>0.24126672428007701</v>
      </c>
      <c r="M28" s="12">
        <v>1.57278522872648E-3</v>
      </c>
      <c r="N28" s="12">
        <v>7.1094937045502599E-2</v>
      </c>
      <c r="O28" s="12">
        <v>1.5007351209701101E-2</v>
      </c>
      <c r="P28" s="20">
        <v>0.78779380009078204</v>
      </c>
      <c r="Q28" s="12">
        <v>0.412325453206913</v>
      </c>
      <c r="R28" s="12">
        <v>5.9084636005762803E-2</v>
      </c>
      <c r="S28" s="12">
        <v>0.242643091547767</v>
      </c>
      <c r="T28" s="12">
        <v>3.1845658243927701E-3</v>
      </c>
      <c r="U28" s="12">
        <v>7.1094937045502599E-2</v>
      </c>
      <c r="V28" s="12">
        <v>4.5127633789812001E-2</v>
      </c>
      <c r="W28" s="20">
        <v>0.83346031742015003</v>
      </c>
      <c r="X28" s="12">
        <v>0.40063826809078101</v>
      </c>
      <c r="Y28" s="12">
        <v>5.8213734235994699E-2</v>
      </c>
      <c r="Z28" s="12">
        <v>8.4472118228349595E-3</v>
      </c>
      <c r="AA28" s="12">
        <v>7.01231918472567E-3</v>
      </c>
      <c r="AB28" s="12">
        <v>7.1094937045502599E-2</v>
      </c>
      <c r="AC28" s="20">
        <v>0.54540647037983903</v>
      </c>
      <c r="AD28" s="13">
        <v>-0.28805384704031101</v>
      </c>
      <c r="AE28" s="12">
        <v>0.52663200060634974</v>
      </c>
      <c r="AF28" s="12">
        <v>1.52814526904989</v>
      </c>
      <c r="AG28" s="21" t="str">
        <f t="shared" si="0"/>
        <v/>
      </c>
    </row>
    <row r="29" spans="1:33" ht="15" x14ac:dyDescent="0.2">
      <c r="A29" s="16" t="s">
        <v>67</v>
      </c>
      <c r="B29" s="7" t="s">
        <v>38</v>
      </c>
      <c r="C29" s="8">
        <v>68.099999999999994</v>
      </c>
      <c r="D29" s="9">
        <v>72.781999999999996</v>
      </c>
      <c r="E29" s="10">
        <v>0.66300000000000003</v>
      </c>
      <c r="F29" s="41">
        <v>3740.0024132685367</v>
      </c>
      <c r="G29" s="6" t="s">
        <v>34</v>
      </c>
      <c r="H29" s="7" t="s">
        <v>36</v>
      </c>
      <c r="I29" s="11">
        <v>0.54376702880859307</v>
      </c>
      <c r="J29" s="17"/>
      <c r="K29" s="17"/>
      <c r="L29" s="17"/>
      <c r="M29" s="17"/>
      <c r="N29" s="17"/>
      <c r="O29" s="17"/>
      <c r="P29" s="20">
        <v>1.6085808982444201</v>
      </c>
      <c r="Q29" s="17"/>
      <c r="R29" s="17"/>
      <c r="S29" s="17"/>
      <c r="T29" s="17"/>
      <c r="U29" s="17"/>
      <c r="V29" s="17"/>
      <c r="W29" s="20">
        <v>1.8341522231177501</v>
      </c>
      <c r="X29" s="17"/>
      <c r="Y29" s="17"/>
      <c r="Z29" s="17"/>
      <c r="AA29" s="17"/>
      <c r="AB29" s="17"/>
      <c r="AC29" s="20">
        <v>0.47433161593781198</v>
      </c>
      <c r="AD29" s="13">
        <v>-1.3598206071799381</v>
      </c>
      <c r="AE29" s="12">
        <v>1.1589313066121174</v>
      </c>
      <c r="AF29" s="12">
        <v>3.8668141896706705</v>
      </c>
      <c r="AG29" s="19">
        <f t="shared" si="0"/>
        <v>314.94532757683265</v>
      </c>
    </row>
    <row r="30" spans="1:33" ht="15" x14ac:dyDescent="0.2">
      <c r="A30" s="16" t="s">
        <v>68</v>
      </c>
      <c r="B30" s="7" t="s">
        <v>38</v>
      </c>
      <c r="C30" s="8">
        <v>64.5</v>
      </c>
      <c r="D30" s="9">
        <v>69.569999999999993</v>
      </c>
      <c r="E30" s="10">
        <v>0.58499999999999996</v>
      </c>
      <c r="F30" s="41">
        <v>1202.6240467505759</v>
      </c>
      <c r="G30" s="6" t="s">
        <v>45</v>
      </c>
      <c r="H30" s="7" t="s">
        <v>29</v>
      </c>
      <c r="I30" s="11">
        <v>16.249799804687498</v>
      </c>
      <c r="J30" s="17"/>
      <c r="K30" s="17"/>
      <c r="L30" s="17"/>
      <c r="M30" s="17"/>
      <c r="N30" s="17"/>
      <c r="O30" s="17"/>
      <c r="P30" s="20">
        <v>1.31457309109297</v>
      </c>
      <c r="Q30" s="17"/>
      <c r="R30" s="17"/>
      <c r="S30" s="17"/>
      <c r="T30" s="17"/>
      <c r="U30" s="17"/>
      <c r="V30" s="17"/>
      <c r="W30" s="20">
        <v>1.50140806941894</v>
      </c>
      <c r="X30" s="17"/>
      <c r="Y30" s="17"/>
      <c r="Z30" s="17"/>
      <c r="AA30" s="17"/>
      <c r="AB30" s="17"/>
      <c r="AC30" s="20">
        <v>1.1955941547901501</v>
      </c>
      <c r="AD30" s="13">
        <v>-0.30581391462878993</v>
      </c>
      <c r="AE30" s="12">
        <v>0.94868288123431366</v>
      </c>
      <c r="AF30" s="12">
        <v>1.2557840496321815</v>
      </c>
      <c r="AG30" s="21" t="str">
        <f t="shared" si="0"/>
        <v/>
      </c>
    </row>
    <row r="31" spans="1:33" ht="15" x14ac:dyDescent="0.2">
      <c r="A31" s="16" t="s">
        <v>69</v>
      </c>
      <c r="B31" s="7" t="s">
        <v>27</v>
      </c>
      <c r="C31" s="8">
        <v>55.3</v>
      </c>
      <c r="D31" s="9">
        <v>58.920999999999999</v>
      </c>
      <c r="E31" s="10">
        <v>0.56000000000000005</v>
      </c>
      <c r="F31" s="41">
        <v>1502.1672024219145</v>
      </c>
      <c r="G31" s="6" t="s">
        <v>34</v>
      </c>
      <c r="H31" s="7" t="s">
        <v>36</v>
      </c>
      <c r="I31" s="11">
        <v>25.216300781250101</v>
      </c>
      <c r="J31" s="12">
        <v>0.57329325209520798</v>
      </c>
      <c r="K31" s="12">
        <v>8.2153989170750494E-2</v>
      </c>
      <c r="L31" s="12">
        <v>0.26356313604293102</v>
      </c>
      <c r="M31" s="12">
        <v>4.3463238473371399E-2</v>
      </c>
      <c r="N31" s="12">
        <v>6.4927348058629403E-2</v>
      </c>
      <c r="O31" s="12">
        <v>9.9834368915946603E-2</v>
      </c>
      <c r="P31" s="20">
        <v>1.1272353327568401</v>
      </c>
      <c r="Q31" s="12">
        <v>0.56780477780272598</v>
      </c>
      <c r="R31" s="12">
        <v>8.7155479584153706E-2</v>
      </c>
      <c r="S31" s="12">
        <v>0.208839725756747</v>
      </c>
      <c r="T31" s="12">
        <v>9.6426917577865798E-2</v>
      </c>
      <c r="U31" s="12">
        <v>6.4927348058629403E-2</v>
      </c>
      <c r="V31" s="12">
        <v>0.18867701226405201</v>
      </c>
      <c r="W31" s="20">
        <v>1.2138312610441699</v>
      </c>
      <c r="X31" s="12">
        <v>0.57329325209520798</v>
      </c>
      <c r="Y31" s="12">
        <v>8.2153989170750494E-2</v>
      </c>
      <c r="Z31" s="12">
        <v>0.80705112785853805</v>
      </c>
      <c r="AA31" s="12">
        <v>6.6630859557603797E-2</v>
      </c>
      <c r="AB31" s="12">
        <v>6.4927348058629403E-2</v>
      </c>
      <c r="AC31" s="20">
        <v>1.59405657674073</v>
      </c>
      <c r="AD31" s="13">
        <v>0.38022531569656004</v>
      </c>
      <c r="AE31" s="12">
        <v>0.7669739902925401</v>
      </c>
      <c r="AF31" s="12">
        <v>0.76147313637136804</v>
      </c>
      <c r="AG31" s="21" t="str">
        <f t="shared" si="0"/>
        <v/>
      </c>
    </row>
    <row r="32" spans="1:33" ht="15" x14ac:dyDescent="0.2">
      <c r="A32" s="16" t="s">
        <v>70</v>
      </c>
      <c r="B32" s="7" t="s">
        <v>27</v>
      </c>
      <c r="C32" s="8">
        <v>79.2</v>
      </c>
      <c r="D32" s="9">
        <v>82.0488</v>
      </c>
      <c r="E32" s="10">
        <v>0.92800000000000005</v>
      </c>
      <c r="F32" s="41">
        <v>51517.748526039875</v>
      </c>
      <c r="G32" s="6" t="s">
        <v>71</v>
      </c>
      <c r="H32" s="7" t="s">
        <v>40</v>
      </c>
      <c r="I32" s="11">
        <v>37.0746015625</v>
      </c>
      <c r="J32" s="12">
        <v>2.7513703601930599</v>
      </c>
      <c r="K32" s="12">
        <v>0.33503189607269901</v>
      </c>
      <c r="L32" s="12">
        <v>2.9249844662348901</v>
      </c>
      <c r="M32" s="12">
        <v>0.176004284262537</v>
      </c>
      <c r="N32" s="12">
        <v>9.04776127663071E-2</v>
      </c>
      <c r="O32" s="12">
        <v>5.4463299247760197</v>
      </c>
      <c r="P32" s="20">
        <v>11.7241985443055</v>
      </c>
      <c r="Q32" s="12">
        <v>0.89316919041772602</v>
      </c>
      <c r="R32" s="12">
        <v>0.28866795701287401</v>
      </c>
      <c r="S32" s="12">
        <v>1.3560737849399001</v>
      </c>
      <c r="T32" s="12">
        <v>0.146312491536123</v>
      </c>
      <c r="U32" s="12">
        <v>9.04776127663071E-2</v>
      </c>
      <c r="V32" s="12">
        <v>5.29034866968159</v>
      </c>
      <c r="W32" s="20">
        <v>8.0650497063545199</v>
      </c>
      <c r="X32" s="12">
        <v>2.7513703601930599</v>
      </c>
      <c r="Y32" s="12">
        <v>0.33503189607269901</v>
      </c>
      <c r="Z32" s="12">
        <v>8.3316974914613802</v>
      </c>
      <c r="AA32" s="12">
        <v>3.2280347333872901</v>
      </c>
      <c r="AB32" s="12">
        <v>9.04776127663071E-2</v>
      </c>
      <c r="AC32" s="20">
        <v>14.7366120938807</v>
      </c>
      <c r="AD32" s="13">
        <v>6.6715623875261798</v>
      </c>
      <c r="AE32" s="12">
        <v>5.095999381223149</v>
      </c>
      <c r="AF32" s="12">
        <v>0.54727977197034927</v>
      </c>
      <c r="AG32" s="19">
        <f t="shared" si="0"/>
        <v>71.624812464634203</v>
      </c>
    </row>
    <row r="33" spans="1:33" ht="15" x14ac:dyDescent="0.2">
      <c r="A33" s="16" t="s">
        <v>72</v>
      </c>
      <c r="B33" s="7" t="s">
        <v>27</v>
      </c>
      <c r="C33" s="8">
        <v>38.299999999999997</v>
      </c>
      <c r="D33" s="9">
        <v>52.805</v>
      </c>
      <c r="E33" s="10">
        <v>0.39500000000000002</v>
      </c>
      <c r="F33" s="41">
        <v>379.36553585401447</v>
      </c>
      <c r="G33" s="6" t="s">
        <v>34</v>
      </c>
      <c r="H33" s="7" t="s">
        <v>29</v>
      </c>
      <c r="I33" s="11">
        <v>4.66637011718751</v>
      </c>
      <c r="J33" s="12">
        <v>0.29587514456328501</v>
      </c>
      <c r="K33" s="12">
        <v>0.55118416624771205</v>
      </c>
      <c r="L33" s="12">
        <v>0.28726762962158903</v>
      </c>
      <c r="M33" s="12">
        <v>9.4626826634754604E-3</v>
      </c>
      <c r="N33" s="12">
        <v>3.8127605458387899E-2</v>
      </c>
      <c r="O33" s="12">
        <v>2.6523409892946801E-2</v>
      </c>
      <c r="P33" s="20">
        <v>1.2084406384474</v>
      </c>
      <c r="Q33" s="12">
        <v>0.31609505319007702</v>
      </c>
      <c r="R33" s="12">
        <v>0.53771999680298399</v>
      </c>
      <c r="S33" s="12">
        <v>0.25978121350296202</v>
      </c>
      <c r="T33" s="12">
        <v>1.7237865390566699E-2</v>
      </c>
      <c r="U33" s="12">
        <v>3.8127605458387899E-2</v>
      </c>
      <c r="V33" s="12">
        <v>3.48672180985765E-2</v>
      </c>
      <c r="W33" s="20">
        <v>1.2038289524435499</v>
      </c>
      <c r="X33" s="12">
        <v>0.29587514456328501</v>
      </c>
      <c r="Y33" s="12">
        <v>0.55118416624771205</v>
      </c>
      <c r="Z33" s="12">
        <v>6.6230011975298302</v>
      </c>
      <c r="AA33" s="12">
        <v>0</v>
      </c>
      <c r="AB33" s="12">
        <v>3.8127605458387899E-2</v>
      </c>
      <c r="AC33" s="20">
        <v>7.5081881137992204</v>
      </c>
      <c r="AD33" s="13">
        <v>6.30435916135567</v>
      </c>
      <c r="AE33" s="12">
        <v>0.76065391040519592</v>
      </c>
      <c r="AF33" s="12">
        <v>0.16033548097057468</v>
      </c>
      <c r="AG33" s="21" t="str">
        <f t="shared" si="0"/>
        <v/>
      </c>
    </row>
    <row r="34" spans="1:33" ht="15" x14ac:dyDescent="0.2">
      <c r="A34" s="16" t="s">
        <v>73</v>
      </c>
      <c r="B34" s="7" t="s">
        <v>27</v>
      </c>
      <c r="C34" s="8">
        <v>40.9</v>
      </c>
      <c r="D34" s="9">
        <v>53.976999999999997</v>
      </c>
      <c r="E34" s="10">
        <v>0.39700000000000002</v>
      </c>
      <c r="F34" s="41">
        <v>812.01986350700497</v>
      </c>
      <c r="G34" s="6" t="s">
        <v>34</v>
      </c>
      <c r="H34" s="7" t="s">
        <v>29</v>
      </c>
      <c r="I34" s="11">
        <v>15.477700195312501</v>
      </c>
      <c r="J34" s="12">
        <v>0.38366055831933898</v>
      </c>
      <c r="K34" s="12">
        <v>0.92367546999332695</v>
      </c>
      <c r="L34" s="12">
        <v>0.228610593824604</v>
      </c>
      <c r="M34" s="12">
        <v>1.05262288559997E-2</v>
      </c>
      <c r="N34" s="12">
        <v>5.8341383731112299E-2</v>
      </c>
      <c r="O34" s="12">
        <v>3.7380810854023699E-2</v>
      </c>
      <c r="P34" s="20">
        <v>1.64219504557841</v>
      </c>
      <c r="Q34" s="12">
        <v>0.38643796245253098</v>
      </c>
      <c r="R34" s="12">
        <v>0.91765111985820202</v>
      </c>
      <c r="S34" s="12">
        <v>0.22876507642392399</v>
      </c>
      <c r="T34" s="12">
        <v>1.0745322584430001E-2</v>
      </c>
      <c r="U34" s="12">
        <v>5.8341383731112299E-2</v>
      </c>
      <c r="V34" s="12">
        <v>4.9384995864324398E-2</v>
      </c>
      <c r="W34" s="20">
        <v>1.65132586091452</v>
      </c>
      <c r="X34" s="12">
        <v>0.38366055831933898</v>
      </c>
      <c r="Y34" s="12">
        <v>0.92367546999332695</v>
      </c>
      <c r="Z34" s="12">
        <v>0.28008338721679499</v>
      </c>
      <c r="AA34" s="12">
        <v>5.84025162223199E-2</v>
      </c>
      <c r="AB34" s="12">
        <v>5.8341383731112299E-2</v>
      </c>
      <c r="AC34" s="20">
        <v>1.7041633154828899</v>
      </c>
      <c r="AD34" s="13">
        <v>5.2837454568369857E-2</v>
      </c>
      <c r="AE34" s="12">
        <v>1.043410254345712</v>
      </c>
      <c r="AF34" s="12">
        <v>0.96899507571350463</v>
      </c>
      <c r="AG34" s="19">
        <f t="shared" si="0"/>
        <v>349.81446509635794</v>
      </c>
    </row>
    <row r="35" spans="1:33" ht="15" x14ac:dyDescent="0.2">
      <c r="A35" s="16" t="s">
        <v>74</v>
      </c>
      <c r="B35" s="7" t="s">
        <v>27</v>
      </c>
      <c r="C35" s="8">
        <v>77.099999999999994</v>
      </c>
      <c r="D35" s="9">
        <v>80.042000000000002</v>
      </c>
      <c r="E35" s="10">
        <v>0.84899999999999998</v>
      </c>
      <c r="F35" s="41">
        <v>15110.096096190044</v>
      </c>
      <c r="G35" s="6" t="s">
        <v>42</v>
      </c>
      <c r="H35" s="7" t="s">
        <v>32</v>
      </c>
      <c r="I35" s="11">
        <v>18.729199218750001</v>
      </c>
      <c r="J35" s="12">
        <v>0.32536340369268102</v>
      </c>
      <c r="K35" s="12">
        <v>0.198512049307949</v>
      </c>
      <c r="L35" s="12">
        <v>2.0881555281380799</v>
      </c>
      <c r="M35" s="12">
        <v>0.35935055544188799</v>
      </c>
      <c r="N35" s="12">
        <v>0.11685329351495199</v>
      </c>
      <c r="O35" s="12">
        <v>1.6654790392317</v>
      </c>
      <c r="P35" s="20">
        <v>4.7537138693272496</v>
      </c>
      <c r="Q35" s="12">
        <v>0.60155519626365195</v>
      </c>
      <c r="R35" s="12">
        <v>0.419376315899883</v>
      </c>
      <c r="S35" s="12">
        <v>1.08750933366462</v>
      </c>
      <c r="T35" s="12">
        <v>0.172755477858862</v>
      </c>
      <c r="U35" s="12">
        <v>0.11685329351495199</v>
      </c>
      <c r="V35" s="12">
        <v>1.89515672650994</v>
      </c>
      <c r="W35" s="20">
        <v>4.2932063437119004</v>
      </c>
      <c r="X35" s="12">
        <v>0.32536340369268102</v>
      </c>
      <c r="Y35" s="12">
        <v>0.41784624619279997</v>
      </c>
      <c r="Z35" s="12">
        <v>2.1209420584650198</v>
      </c>
      <c r="AA35" s="12">
        <v>0.35481963532113597</v>
      </c>
      <c r="AB35" s="12">
        <v>0.11685329351495199</v>
      </c>
      <c r="AC35" s="20">
        <v>3.3358246371865898</v>
      </c>
      <c r="AD35" s="13">
        <v>-0.95738170652531052</v>
      </c>
      <c r="AE35" s="12">
        <v>2.7127144490853103</v>
      </c>
      <c r="AF35" s="12">
        <v>1.2870000106878399</v>
      </c>
      <c r="AG35" s="19">
        <f t="shared" si="0"/>
        <v>134.55157439186897</v>
      </c>
    </row>
    <row r="36" spans="1:33" ht="15" x14ac:dyDescent="0.2">
      <c r="A36" s="16" t="s">
        <v>75</v>
      </c>
      <c r="B36" s="7" t="s">
        <v>27</v>
      </c>
      <c r="C36" s="8">
        <v>72.099999999999994</v>
      </c>
      <c r="D36" s="9">
        <v>76.703999999999994</v>
      </c>
      <c r="E36" s="10">
        <v>0.755</v>
      </c>
      <c r="F36" s="41">
        <v>7468.9251599995032</v>
      </c>
      <c r="G36" s="6" t="s">
        <v>45</v>
      </c>
      <c r="H36" s="7" t="s">
        <v>32</v>
      </c>
      <c r="I36" s="11">
        <v>1459.3799999999899</v>
      </c>
      <c r="J36" s="12">
        <v>0.454208228129585</v>
      </c>
      <c r="K36" s="12">
        <v>9.9113374112856298E-2</v>
      </c>
      <c r="L36" s="12">
        <v>0.12852887208319</v>
      </c>
      <c r="M36" s="12">
        <v>6.3680986558629499E-2</v>
      </c>
      <c r="N36" s="12">
        <v>0.107280341174366</v>
      </c>
      <c r="O36" s="12">
        <v>2.5996213907740602</v>
      </c>
      <c r="P36" s="20">
        <v>3.4524331928326801</v>
      </c>
      <c r="Q36" s="12">
        <v>0.569592307296371</v>
      </c>
      <c r="R36" s="12">
        <v>0.144927292980504</v>
      </c>
      <c r="S36" s="12">
        <v>0.22399187330262699</v>
      </c>
      <c r="T36" s="12">
        <v>7.1745852205006996E-2</v>
      </c>
      <c r="U36" s="12">
        <v>0.107280341174366</v>
      </c>
      <c r="V36" s="12">
        <v>2.6791956810778599</v>
      </c>
      <c r="W36" s="20">
        <v>3.79673334803674</v>
      </c>
      <c r="X36" s="12">
        <v>0.454208228129585</v>
      </c>
      <c r="Y36" s="12">
        <v>9.9113374112856298E-2</v>
      </c>
      <c r="Z36" s="12">
        <v>0.22113284433646799</v>
      </c>
      <c r="AA36" s="12">
        <v>4.1662645791801498E-2</v>
      </c>
      <c r="AB36" s="12">
        <v>0.107280341174366</v>
      </c>
      <c r="AC36" s="20">
        <v>0.92339743354507697</v>
      </c>
      <c r="AD36" s="13">
        <v>-2.8733359144916628</v>
      </c>
      <c r="AE36" s="12">
        <v>2.3990119710012392</v>
      </c>
      <c r="AF36" s="12">
        <v>4.1117001305282459</v>
      </c>
      <c r="AG36" s="19">
        <f t="shared" si="0"/>
        <v>152.14596859542368</v>
      </c>
    </row>
    <row r="37" spans="1:33" ht="15" x14ac:dyDescent="0.2">
      <c r="A37" s="16" t="s">
        <v>76</v>
      </c>
      <c r="B37" s="7" t="s">
        <v>27</v>
      </c>
      <c r="C37" s="8">
        <v>70.599999999999994</v>
      </c>
      <c r="D37" s="9">
        <v>77.108999999999995</v>
      </c>
      <c r="E37" s="10">
        <v>0.76400000000000001</v>
      </c>
      <c r="F37" s="41">
        <v>7692.1527959566165</v>
      </c>
      <c r="G37" s="6" t="s">
        <v>42</v>
      </c>
      <c r="H37" s="7" t="s">
        <v>32</v>
      </c>
      <c r="I37" s="11">
        <v>49.660999999999795</v>
      </c>
      <c r="J37" s="12">
        <v>0.24971960697225101</v>
      </c>
      <c r="K37" s="12">
        <v>0.62937827860439899</v>
      </c>
      <c r="L37" s="12">
        <v>8.3500508123635797E-2</v>
      </c>
      <c r="M37" s="12">
        <v>2.3028308323730599E-2</v>
      </c>
      <c r="N37" s="12">
        <v>3.62214590642186E-2</v>
      </c>
      <c r="O37" s="12">
        <v>0.52952558787993098</v>
      </c>
      <c r="P37" s="20">
        <v>1.55137374896817</v>
      </c>
      <c r="Q37" s="12">
        <v>0.38005245864921899</v>
      </c>
      <c r="R37" s="12">
        <v>0.61331343537171801</v>
      </c>
      <c r="S37" s="12">
        <v>0.11443219126066501</v>
      </c>
      <c r="T37" s="12">
        <v>4.0899226827275398E-2</v>
      </c>
      <c r="U37" s="12">
        <v>3.62214590642186E-2</v>
      </c>
      <c r="V37" s="12">
        <v>0.67170918514361</v>
      </c>
      <c r="W37" s="20">
        <v>1.8566279563167101</v>
      </c>
      <c r="X37" s="12">
        <v>0.24971960697225101</v>
      </c>
      <c r="Y37" s="12">
        <v>1.09914159302959</v>
      </c>
      <c r="Z37" s="12">
        <v>1.9883007167134099</v>
      </c>
      <c r="AA37" s="12">
        <v>6.5703373643102497E-2</v>
      </c>
      <c r="AB37" s="12">
        <v>3.62214590642186E-2</v>
      </c>
      <c r="AC37" s="20">
        <v>3.4390867494225801</v>
      </c>
      <c r="AD37" s="13">
        <v>1.58245879310587</v>
      </c>
      <c r="AE37" s="12">
        <v>1.1731328709724949</v>
      </c>
      <c r="AF37" s="12">
        <v>0.53986075129638311</v>
      </c>
      <c r="AG37" s="19">
        <f t="shared" si="0"/>
        <v>311.13270204203303</v>
      </c>
    </row>
    <row r="38" spans="1:33" ht="15" x14ac:dyDescent="0.2">
      <c r="A38" s="16" t="s">
        <v>77</v>
      </c>
      <c r="B38" s="7" t="s">
        <v>38</v>
      </c>
      <c r="C38" s="17"/>
      <c r="D38" s="9">
        <v>64.117999999999995</v>
      </c>
      <c r="E38" s="10">
        <v>0.55200000000000005</v>
      </c>
      <c r="F38" s="41">
        <v>1402.7383270693822</v>
      </c>
      <c r="G38" s="6" t="s">
        <v>34</v>
      </c>
      <c r="H38" s="7" t="s">
        <v>29</v>
      </c>
      <c r="I38" s="11">
        <v>0.83232202148437606</v>
      </c>
      <c r="J38" s="17"/>
      <c r="K38" s="17"/>
      <c r="L38" s="17"/>
      <c r="M38" s="17"/>
      <c r="N38" s="17"/>
      <c r="O38" s="17"/>
      <c r="P38" s="20">
        <v>0.88917685626690202</v>
      </c>
      <c r="Q38" s="17"/>
      <c r="R38" s="17"/>
      <c r="S38" s="17"/>
      <c r="T38" s="17"/>
      <c r="U38" s="17"/>
      <c r="V38" s="17"/>
      <c r="W38" s="20">
        <v>1.1933751518640701</v>
      </c>
      <c r="X38" s="17"/>
      <c r="Y38" s="17"/>
      <c r="Z38" s="17"/>
      <c r="AA38" s="17"/>
      <c r="AB38" s="17"/>
      <c r="AC38" s="20">
        <v>0.35203753596241499</v>
      </c>
      <c r="AD38" s="13">
        <v>-0.84133761590165501</v>
      </c>
      <c r="AE38" s="12">
        <v>0.75404854984027769</v>
      </c>
      <c r="AF38" s="12">
        <v>3.3899088306068585</v>
      </c>
      <c r="AG38" s="21" t="str">
        <f t="shared" si="0"/>
        <v/>
      </c>
    </row>
    <row r="39" spans="1:33" ht="15" x14ac:dyDescent="0.2">
      <c r="A39" s="16" t="s">
        <v>78</v>
      </c>
      <c r="B39" s="7" t="s">
        <v>27</v>
      </c>
      <c r="C39" s="8">
        <v>52.9</v>
      </c>
      <c r="D39" s="9">
        <v>64.290000000000006</v>
      </c>
      <c r="E39" s="10">
        <v>0.57299999999999995</v>
      </c>
      <c r="F39" s="41">
        <v>2303.9799546555269</v>
      </c>
      <c r="G39" s="6" t="s">
        <v>34</v>
      </c>
      <c r="H39" s="7" t="s">
        <v>36</v>
      </c>
      <c r="I39" s="11">
        <v>5.2443598632812503</v>
      </c>
      <c r="J39" s="12">
        <v>0.125635323141426</v>
      </c>
      <c r="K39" s="12">
        <v>4.1974393954770303E-2</v>
      </c>
      <c r="L39" s="12">
        <v>0.42854187572087898</v>
      </c>
      <c r="M39" s="12">
        <v>9.6027447002650507E-2</v>
      </c>
      <c r="N39" s="12">
        <v>3.5224903087130499E-2</v>
      </c>
      <c r="O39" s="12">
        <v>0.21288231863476001</v>
      </c>
      <c r="P39" s="20">
        <v>0.94028626154161599</v>
      </c>
      <c r="Q39" s="12">
        <v>0.27255918685108599</v>
      </c>
      <c r="R39" s="12">
        <v>7.1847417074778E-2</v>
      </c>
      <c r="S39" s="12">
        <v>0.28309825186079901</v>
      </c>
      <c r="T39" s="12">
        <v>0.14544537132602001</v>
      </c>
      <c r="U39" s="12">
        <v>3.5224903087130499E-2</v>
      </c>
      <c r="V39" s="12">
        <v>0.21989944915450901</v>
      </c>
      <c r="W39" s="20">
        <v>1.02807457935432</v>
      </c>
      <c r="X39" s="12">
        <v>0.125635323141426</v>
      </c>
      <c r="Y39" s="12">
        <v>2.5334231891762502</v>
      </c>
      <c r="Z39" s="12">
        <v>5.7910873212440404</v>
      </c>
      <c r="AA39" s="12">
        <v>0.29223821507895698</v>
      </c>
      <c r="AB39" s="12">
        <v>3.5224903087130499E-2</v>
      </c>
      <c r="AC39" s="20">
        <v>8.7776089517277995</v>
      </c>
      <c r="AD39" s="13">
        <v>7.7495343723734793</v>
      </c>
      <c r="AE39" s="12">
        <v>0.64960138015181224</v>
      </c>
      <c r="AF39" s="12">
        <v>0.11712467313230582</v>
      </c>
      <c r="AG39" s="21" t="str">
        <f t="shared" si="0"/>
        <v/>
      </c>
    </row>
    <row r="40" spans="1:33" ht="15" x14ac:dyDescent="0.2">
      <c r="A40" s="16" t="s">
        <v>79</v>
      </c>
      <c r="B40" s="7" t="s">
        <v>27</v>
      </c>
      <c r="C40" s="8">
        <v>49.3</v>
      </c>
      <c r="D40" s="9">
        <v>60.368000000000002</v>
      </c>
      <c r="E40" s="10">
        <v>0.47799999999999998</v>
      </c>
      <c r="F40" s="41">
        <v>418.98888336158268</v>
      </c>
      <c r="G40" s="6" t="s">
        <v>34</v>
      </c>
      <c r="H40" s="7" t="s">
        <v>29</v>
      </c>
      <c r="I40" s="11">
        <v>84.068101562500004</v>
      </c>
      <c r="J40" s="12">
        <v>0.20888557014710701</v>
      </c>
      <c r="K40" s="12">
        <v>8.35102484398185E-3</v>
      </c>
      <c r="L40" s="12">
        <v>0.42219769073742502</v>
      </c>
      <c r="M40" s="12">
        <v>5.2952969147853799E-3</v>
      </c>
      <c r="N40" s="12">
        <v>6.08518219872606E-2</v>
      </c>
      <c r="O40" s="12">
        <v>9.2751737827582292E-3</v>
      </c>
      <c r="P40" s="20">
        <v>0.71485657841331796</v>
      </c>
      <c r="Q40" s="12">
        <v>0.22433530789564601</v>
      </c>
      <c r="R40" s="12">
        <v>1.0073982194619101E-2</v>
      </c>
      <c r="S40" s="12">
        <v>0.42181793347399898</v>
      </c>
      <c r="T40" s="12">
        <v>1.59806977985287E-2</v>
      </c>
      <c r="U40" s="12">
        <v>6.08518219872606E-2</v>
      </c>
      <c r="V40" s="12">
        <v>4.89688611183723E-2</v>
      </c>
      <c r="W40" s="20">
        <v>0.78202860446842604</v>
      </c>
      <c r="X40" s="12">
        <v>0.20888557014710701</v>
      </c>
      <c r="Y40" s="12">
        <v>0.25007526843328198</v>
      </c>
      <c r="Z40" s="12">
        <v>1.6036486078801999</v>
      </c>
      <c r="AA40" s="12">
        <v>3.60784258997131E-2</v>
      </c>
      <c r="AB40" s="12">
        <v>6.08518219872606E-2</v>
      </c>
      <c r="AC40" s="20">
        <v>2.15953969434756</v>
      </c>
      <c r="AD40" s="13">
        <v>1.3775110898791341</v>
      </c>
      <c r="AE40" s="12">
        <v>0.49413424957938157</v>
      </c>
      <c r="AF40" s="12">
        <v>0.36212745082451125</v>
      </c>
      <c r="AG40" s="21" t="str">
        <f t="shared" si="0"/>
        <v/>
      </c>
    </row>
    <row r="41" spans="1:33" ht="15" x14ac:dyDescent="0.2">
      <c r="A41" s="16" t="s">
        <v>80</v>
      </c>
      <c r="B41" s="7" t="s">
        <v>27</v>
      </c>
      <c r="C41" s="8">
        <v>73.599999999999994</v>
      </c>
      <c r="D41" s="9">
        <v>80.094999999999999</v>
      </c>
      <c r="E41" s="10">
        <v>0.80800000000000005</v>
      </c>
      <c r="F41" s="41">
        <v>9936.5930148620937</v>
      </c>
      <c r="G41" s="6" t="s">
        <v>39</v>
      </c>
      <c r="H41" s="7" t="s">
        <v>32</v>
      </c>
      <c r="I41" s="11">
        <v>4.9994399414062602</v>
      </c>
      <c r="J41" s="12">
        <v>0.36283802253997399</v>
      </c>
      <c r="K41" s="12">
        <v>0.271990943710331</v>
      </c>
      <c r="L41" s="12">
        <v>0.42959645655984102</v>
      </c>
      <c r="M41" s="12">
        <v>4.6185786629396097E-2</v>
      </c>
      <c r="N41" s="12">
        <v>8.9595767700433995E-2</v>
      </c>
      <c r="O41" s="12">
        <v>0.558865304963722</v>
      </c>
      <c r="P41" s="20">
        <v>1.7590722821036999</v>
      </c>
      <c r="Q41" s="12">
        <v>0.37897168309241303</v>
      </c>
      <c r="R41" s="12">
        <v>0.206490981225081</v>
      </c>
      <c r="S41" s="12">
        <v>0.66111826384279604</v>
      </c>
      <c r="T41" s="12">
        <v>9.8164229474628703E-2</v>
      </c>
      <c r="U41" s="12">
        <v>8.9595767700433995E-2</v>
      </c>
      <c r="V41" s="12">
        <v>1.01190618035693</v>
      </c>
      <c r="W41" s="20">
        <v>2.4462471056922901</v>
      </c>
      <c r="X41" s="12">
        <v>0.36283802253997399</v>
      </c>
      <c r="Y41" s="12">
        <v>0.271990943710331</v>
      </c>
      <c r="Z41" s="12">
        <v>0.66389909657846202</v>
      </c>
      <c r="AA41" s="12">
        <v>0.114140529697404</v>
      </c>
      <c r="AB41" s="12">
        <v>8.9595767700433995E-2</v>
      </c>
      <c r="AC41" s="20">
        <v>1.5024643602266099</v>
      </c>
      <c r="AD41" s="13">
        <v>-0.9437827454656802</v>
      </c>
      <c r="AE41" s="12">
        <v>1.5456908749247642</v>
      </c>
      <c r="AF41" s="12">
        <v>1.6281564943898794</v>
      </c>
      <c r="AG41" s="19">
        <f t="shared" si="0"/>
        <v>236.14036022420473</v>
      </c>
    </row>
    <row r="42" spans="1:33" ht="15" x14ac:dyDescent="0.2">
      <c r="A42" s="16" t="s">
        <v>81</v>
      </c>
      <c r="B42" s="7" t="s">
        <v>27</v>
      </c>
      <c r="C42" s="8">
        <v>57.6</v>
      </c>
      <c r="D42" s="9">
        <v>57.421999999999997</v>
      </c>
      <c r="E42" s="10">
        <v>0.53400000000000003</v>
      </c>
      <c r="F42" s="41">
        <v>1667.9431853860758</v>
      </c>
      <c r="G42" s="6" t="s">
        <v>34</v>
      </c>
      <c r="H42" s="7" t="s">
        <v>36</v>
      </c>
      <c r="I42" s="11">
        <v>25.069199218750001</v>
      </c>
      <c r="J42" s="12">
        <v>1.0757330097848501</v>
      </c>
      <c r="K42" s="12">
        <v>1.8659277315915501E-2</v>
      </c>
      <c r="L42" s="12">
        <v>0.2052249708808</v>
      </c>
      <c r="M42" s="12">
        <v>4.1932957127742101E-2</v>
      </c>
      <c r="N42" s="12">
        <v>0.110831564227826</v>
      </c>
      <c r="O42" s="12">
        <v>0.15120394875043</v>
      </c>
      <c r="P42" s="20">
        <v>1.6035857280875601</v>
      </c>
      <c r="Q42" s="12">
        <v>0.57361292112412399</v>
      </c>
      <c r="R42" s="12">
        <v>4.4412517685792803E-2</v>
      </c>
      <c r="S42" s="12">
        <v>0.21503543111516399</v>
      </c>
      <c r="T42" s="12">
        <v>0.18974096902186799</v>
      </c>
      <c r="U42" s="12">
        <v>0.110831564227826</v>
      </c>
      <c r="V42" s="12">
        <v>0.26274944053829502</v>
      </c>
      <c r="W42" s="20">
        <v>1.3963828437130701</v>
      </c>
      <c r="X42" s="12">
        <v>1.0757330097848501</v>
      </c>
      <c r="Y42" s="12">
        <v>0.46098654144721102</v>
      </c>
      <c r="Z42" s="12">
        <v>0.108047998259597</v>
      </c>
      <c r="AA42" s="12">
        <v>3.28941626820584E-2</v>
      </c>
      <c r="AB42" s="12">
        <v>0.110831564227826</v>
      </c>
      <c r="AC42" s="20">
        <v>1.78849327640154</v>
      </c>
      <c r="AD42" s="13">
        <v>0.3921104326884699</v>
      </c>
      <c r="AE42" s="12">
        <v>0.88232141978067391</v>
      </c>
      <c r="AF42" s="12">
        <v>0.78075934762394039</v>
      </c>
      <c r="AG42" s="21" t="str">
        <f t="shared" si="0"/>
        <v/>
      </c>
    </row>
    <row r="43" spans="1:33" ht="15" x14ac:dyDescent="0.2">
      <c r="A43" s="16" t="s">
        <v>82</v>
      </c>
      <c r="B43" s="7" t="s">
        <v>27</v>
      </c>
      <c r="C43" s="8">
        <v>80.400000000000006</v>
      </c>
      <c r="D43" s="9">
        <v>78.070700000000002</v>
      </c>
      <c r="E43" s="10">
        <v>0.84799999999999998</v>
      </c>
      <c r="F43" s="41">
        <v>15707.704151177855</v>
      </c>
      <c r="G43" s="6" t="s">
        <v>31</v>
      </c>
      <c r="H43" s="7" t="s">
        <v>40</v>
      </c>
      <c r="I43" s="11">
        <v>4.1563999023437406</v>
      </c>
      <c r="J43" s="12">
        <v>0.707251724369652</v>
      </c>
      <c r="K43" s="12">
        <v>3.2876389885686898E-2</v>
      </c>
      <c r="L43" s="12">
        <v>0.77282622606472096</v>
      </c>
      <c r="M43" s="12">
        <v>4.7176360948118598E-2</v>
      </c>
      <c r="N43" s="12">
        <v>7.7944082119159597E-2</v>
      </c>
      <c r="O43" s="12">
        <v>1.4318927720633601</v>
      </c>
      <c r="P43" s="20">
        <v>3.0699675554507002</v>
      </c>
      <c r="Q43" s="12">
        <v>0.62164178592411301</v>
      </c>
      <c r="R43" s="12">
        <v>0.17873618352896201</v>
      </c>
      <c r="S43" s="12">
        <v>0.64816233767842901</v>
      </c>
      <c r="T43" s="12">
        <v>7.8068685920536396E-2</v>
      </c>
      <c r="U43" s="12">
        <v>7.7944082119159597E-2</v>
      </c>
      <c r="V43" s="12">
        <v>2.2763114975369398</v>
      </c>
      <c r="W43" s="20">
        <v>3.8808645727081399</v>
      </c>
      <c r="X43" s="12">
        <v>0.707251724369652</v>
      </c>
      <c r="Y43" s="12">
        <v>0.139069745841961</v>
      </c>
      <c r="Z43" s="12">
        <v>1.56322944073422</v>
      </c>
      <c r="AA43" s="12">
        <v>0.34499738972819499</v>
      </c>
      <c r="AB43" s="12">
        <v>7.7944082119159597E-2</v>
      </c>
      <c r="AC43" s="20">
        <v>2.8324923827931801</v>
      </c>
      <c r="AD43" s="13">
        <v>-1.0483721899149598</v>
      </c>
      <c r="AE43" s="12">
        <v>2.4521713047284943</v>
      </c>
      <c r="AF43" s="12">
        <v>1.3701235690106739</v>
      </c>
      <c r="AG43" s="19">
        <f t="shared" si="0"/>
        <v>148.84767605598134</v>
      </c>
    </row>
    <row r="44" spans="1:33" ht="15" x14ac:dyDescent="0.2">
      <c r="A44" s="16" t="s">
        <v>83</v>
      </c>
      <c r="B44" s="7" t="s">
        <v>27</v>
      </c>
      <c r="C44" s="8">
        <v>73.7</v>
      </c>
      <c r="D44" s="9">
        <v>78.725999999999999</v>
      </c>
      <c r="E44" s="10">
        <v>0.78100000000000003</v>
      </c>
      <c r="F44" s="41">
        <v>6816.9184133902008</v>
      </c>
      <c r="G44" s="6" t="s">
        <v>39</v>
      </c>
      <c r="H44" s="7" t="s">
        <v>32</v>
      </c>
      <c r="I44" s="11">
        <v>11.338099609374899</v>
      </c>
      <c r="J44" s="12">
        <v>0.25216693249761102</v>
      </c>
      <c r="K44" s="12">
        <v>8.9442481771025206E-2</v>
      </c>
      <c r="L44" s="12">
        <v>7.5351027078312802E-2</v>
      </c>
      <c r="M44" s="12">
        <v>1.18550778760537E-2</v>
      </c>
      <c r="N44" s="12">
        <v>2.4891444232080801E-2</v>
      </c>
      <c r="O44" s="12">
        <v>0.80284607216105497</v>
      </c>
      <c r="P44" s="20">
        <v>1.2565530356161401</v>
      </c>
      <c r="Q44" s="12">
        <v>0.53950001698204997</v>
      </c>
      <c r="R44" s="12">
        <v>0.11573155963774601</v>
      </c>
      <c r="S44" s="12">
        <v>8.3136038109884805E-2</v>
      </c>
      <c r="T44" s="12">
        <v>2.65939004230402E-2</v>
      </c>
      <c r="U44" s="12">
        <v>2.4891444232080801E-2</v>
      </c>
      <c r="V44" s="12">
        <v>0.97125166962058895</v>
      </c>
      <c r="W44" s="20">
        <v>1.76110462900539</v>
      </c>
      <c r="X44" s="12">
        <v>0.25216693249761102</v>
      </c>
      <c r="Y44" s="12">
        <v>8.9442481771025206E-2</v>
      </c>
      <c r="Z44" s="12">
        <v>0.237098029501083</v>
      </c>
      <c r="AA44" s="12">
        <v>0.16488461666160101</v>
      </c>
      <c r="AB44" s="12">
        <v>2.4891444232080801E-2</v>
      </c>
      <c r="AC44" s="20">
        <v>0.76848350466340098</v>
      </c>
      <c r="AD44" s="13">
        <v>-0.99262112434198901</v>
      </c>
      <c r="AE44" s="12">
        <v>1.1127752991540198</v>
      </c>
      <c r="AF44" s="12">
        <v>2.291662239096155</v>
      </c>
      <c r="AG44" s="19">
        <f t="shared" si="0"/>
        <v>328.00871863123569</v>
      </c>
    </row>
    <row r="45" spans="1:33" ht="15" x14ac:dyDescent="0.2">
      <c r="A45" s="16" t="s">
        <v>84</v>
      </c>
      <c r="B45" s="7" t="s">
        <v>38</v>
      </c>
      <c r="C45" s="8">
        <v>74.900000000000006</v>
      </c>
      <c r="D45" s="9">
        <v>80.828000000000003</v>
      </c>
      <c r="E45" s="10">
        <v>0.88500000000000001</v>
      </c>
      <c r="F45" s="41">
        <v>23394.939368745188</v>
      </c>
      <c r="G45" s="6" t="s">
        <v>47</v>
      </c>
      <c r="H45" s="7" t="s">
        <v>40</v>
      </c>
      <c r="I45" s="11">
        <v>1.18927001953125</v>
      </c>
      <c r="J45" s="17"/>
      <c r="K45" s="17"/>
      <c r="L45" s="17"/>
      <c r="M45" s="17"/>
      <c r="N45" s="17"/>
      <c r="O45" s="17"/>
      <c r="P45" s="20">
        <v>2.0992040652454</v>
      </c>
      <c r="Q45" s="17"/>
      <c r="R45" s="17"/>
      <c r="S45" s="17"/>
      <c r="T45" s="17"/>
      <c r="U45" s="17"/>
      <c r="V45" s="17"/>
      <c r="W45" s="20">
        <v>3.8501678833415598</v>
      </c>
      <c r="X45" s="17"/>
      <c r="Y45" s="17"/>
      <c r="Z45" s="17"/>
      <c r="AA45" s="17"/>
      <c r="AB45" s="17"/>
      <c r="AC45" s="20">
        <v>0.20583619525904701</v>
      </c>
      <c r="AD45" s="13">
        <v>-3.644331688082513</v>
      </c>
      <c r="AE45" s="12">
        <v>2.4327752296002236</v>
      </c>
      <c r="AF45" s="12">
        <v>18.705008992689955</v>
      </c>
      <c r="AG45" s="19">
        <f t="shared" si="0"/>
        <v>150.03441154733403</v>
      </c>
    </row>
    <row r="46" spans="1:33" ht="15" x14ac:dyDescent="0.2">
      <c r="A46" s="16" t="s">
        <v>85</v>
      </c>
      <c r="B46" s="7" t="s">
        <v>27</v>
      </c>
      <c r="C46" s="8">
        <v>81.400000000000006</v>
      </c>
      <c r="D46" s="9">
        <v>79.029300000000006</v>
      </c>
      <c r="E46" s="10">
        <v>0.89800000000000002</v>
      </c>
      <c r="F46" s="41">
        <v>23720.8992721539</v>
      </c>
      <c r="G46" s="6" t="s">
        <v>47</v>
      </c>
      <c r="H46" s="7" t="s">
        <v>40</v>
      </c>
      <c r="I46" s="11">
        <v>10.6657001953125</v>
      </c>
      <c r="J46" s="12">
        <v>0.85245241399541805</v>
      </c>
      <c r="K46" s="12">
        <v>7.8305096209214595E-2</v>
      </c>
      <c r="L46" s="12">
        <v>1.5453199746085899</v>
      </c>
      <c r="M46" s="12">
        <v>1.4894260502505E-3</v>
      </c>
      <c r="N46" s="12">
        <v>0.123454604833586</v>
      </c>
      <c r="O46" s="12">
        <v>3.3420830422821002</v>
      </c>
      <c r="P46" s="20">
        <v>5.9431045579791597</v>
      </c>
      <c r="Q46" s="12">
        <v>0.65611926363791295</v>
      </c>
      <c r="R46" s="12">
        <v>0.32968449746921302</v>
      </c>
      <c r="S46" s="12">
        <v>1.07574302706189</v>
      </c>
      <c r="T46" s="12">
        <v>3.91080339773337E-2</v>
      </c>
      <c r="U46" s="12">
        <v>0.123454604833586</v>
      </c>
      <c r="V46" s="12">
        <v>3.4935235175160799</v>
      </c>
      <c r="W46" s="20">
        <v>5.7176329444960103</v>
      </c>
      <c r="X46" s="12">
        <v>0.85245241399541805</v>
      </c>
      <c r="Y46" s="12">
        <v>7.8305096209214595E-2</v>
      </c>
      <c r="Z46" s="12">
        <v>1.2730172835420099</v>
      </c>
      <c r="AA46" s="12">
        <v>1.99576675165565E-3</v>
      </c>
      <c r="AB46" s="12">
        <v>0.123454604833586</v>
      </c>
      <c r="AC46" s="20">
        <v>2.3292251653318901</v>
      </c>
      <c r="AD46" s="13">
        <v>-3.3884077791641203</v>
      </c>
      <c r="AE46" s="12">
        <v>3.6127556565777188</v>
      </c>
      <c r="AF46" s="12">
        <v>2.4547360339382678</v>
      </c>
      <c r="AG46" s="19">
        <f t="shared" si="0"/>
        <v>101.03091232739393</v>
      </c>
    </row>
    <row r="47" spans="1:33" ht="15" x14ac:dyDescent="0.2">
      <c r="A47" s="16" t="s">
        <v>86</v>
      </c>
      <c r="B47" s="7" t="s">
        <v>27</v>
      </c>
      <c r="C47" s="8">
        <v>84.9</v>
      </c>
      <c r="D47" s="9">
        <v>80.953699999999998</v>
      </c>
      <c r="E47" s="10">
        <v>0.93899999999999995</v>
      </c>
      <c r="F47" s="41">
        <v>64671.696845988263</v>
      </c>
      <c r="G47" s="6" t="s">
        <v>47</v>
      </c>
      <c r="H47" s="7" t="s">
        <v>40</v>
      </c>
      <c r="I47" s="11">
        <v>5.7521298828124996</v>
      </c>
      <c r="J47" s="12">
        <v>1.3569112297235399</v>
      </c>
      <c r="K47" s="12">
        <v>9.0361076962198507E-3</v>
      </c>
      <c r="L47" s="12">
        <v>0.350006813183871</v>
      </c>
      <c r="M47" s="12">
        <v>0.57261372747170802</v>
      </c>
      <c r="N47" s="12">
        <v>0.15807664833721199</v>
      </c>
      <c r="O47" s="12">
        <v>1.9482470900425899</v>
      </c>
      <c r="P47" s="20">
        <v>4.3948916164551397</v>
      </c>
      <c r="Q47" s="12">
        <v>0.70230867553577603</v>
      </c>
      <c r="R47" s="12">
        <v>0.46932394993031901</v>
      </c>
      <c r="S47" s="12">
        <v>1.0611595952297399</v>
      </c>
      <c r="T47" s="12">
        <v>0.81230462588003305</v>
      </c>
      <c r="U47" s="12">
        <v>0.15807664833721199</v>
      </c>
      <c r="V47" s="12">
        <v>3.45021385881744</v>
      </c>
      <c r="W47" s="20">
        <v>6.6533873537305199</v>
      </c>
      <c r="X47" s="12">
        <v>1.3569112297235399</v>
      </c>
      <c r="Y47" s="12">
        <v>9.0361076962198507E-3</v>
      </c>
      <c r="Z47" s="12">
        <v>0.33896031609479998</v>
      </c>
      <c r="AA47" s="12">
        <v>1.75530882351399</v>
      </c>
      <c r="AB47" s="12">
        <v>0.15807664833721199</v>
      </c>
      <c r="AC47" s="20">
        <v>3.61829312536576</v>
      </c>
      <c r="AD47" s="13">
        <v>-3.0350942283647599</v>
      </c>
      <c r="AE47" s="12">
        <v>4.204023418595189</v>
      </c>
      <c r="AF47" s="12">
        <v>1.8388193336486396</v>
      </c>
      <c r="AG47" s="19">
        <f t="shared" si="0"/>
        <v>86.821590570960211</v>
      </c>
    </row>
    <row r="48" spans="1:33" ht="15" x14ac:dyDescent="0.2">
      <c r="A48" s="16" t="s">
        <v>87</v>
      </c>
      <c r="B48" s="7" t="s">
        <v>56</v>
      </c>
      <c r="C48" s="8">
        <v>53.8</v>
      </c>
      <c r="D48" s="9">
        <v>66.581999999999994</v>
      </c>
      <c r="E48" s="10">
        <v>0.51800000000000002</v>
      </c>
      <c r="F48" s="41" t="s">
        <v>88</v>
      </c>
      <c r="G48" s="6" t="s">
        <v>34</v>
      </c>
      <c r="H48" s="7" t="s">
        <v>36</v>
      </c>
      <c r="I48" s="11">
        <v>0.95892297363280898</v>
      </c>
      <c r="J48" s="12">
        <v>1.6971697422391002E-2</v>
      </c>
      <c r="K48" s="12">
        <v>0.20893667108663699</v>
      </c>
      <c r="L48" s="12">
        <v>0.15716462659809399</v>
      </c>
      <c r="M48" s="12">
        <v>2.45136441557069E-2</v>
      </c>
      <c r="N48" s="12">
        <v>0.21545655142791501</v>
      </c>
      <c r="O48" s="12">
        <v>0.28470905569155303</v>
      </c>
      <c r="P48" s="20">
        <v>0.90775224638229701</v>
      </c>
      <c r="Q48" s="12">
        <v>1.4932471158237901</v>
      </c>
      <c r="R48" s="12">
        <v>0</v>
      </c>
      <c r="S48" s="12">
        <v>0.30029770851098497</v>
      </c>
      <c r="T48" s="12">
        <v>3.3556833888045701E-2</v>
      </c>
      <c r="U48" s="12">
        <v>0.21545655142791501</v>
      </c>
      <c r="V48" s="12">
        <v>0.395830036218774</v>
      </c>
      <c r="W48" s="20">
        <v>2.4383882458695099</v>
      </c>
      <c r="X48" s="12">
        <v>1.6971697422391002E-2</v>
      </c>
      <c r="Y48" s="12">
        <v>0.20893667108663699</v>
      </c>
      <c r="Z48" s="12">
        <v>1.98551221719291E-3</v>
      </c>
      <c r="AA48" s="12">
        <v>0.270715061040397</v>
      </c>
      <c r="AB48" s="12">
        <v>0.21545655142791501</v>
      </c>
      <c r="AC48" s="20">
        <v>0.71406549319453305</v>
      </c>
      <c r="AD48" s="13">
        <v>-1.7243227526749769</v>
      </c>
      <c r="AE48" s="12">
        <v>1.5407251591198816</v>
      </c>
      <c r="AF48" s="12">
        <v>3.4147963584696273</v>
      </c>
      <c r="AG48" s="19">
        <f t="shared" si="0"/>
        <v>236.90143426261781</v>
      </c>
    </row>
    <row r="49" spans="1:33" ht="15" x14ac:dyDescent="0.2">
      <c r="A49" s="16" t="s">
        <v>89</v>
      </c>
      <c r="B49" s="7" t="s">
        <v>38</v>
      </c>
      <c r="C49" s="17"/>
      <c r="D49" s="22"/>
      <c r="E49" s="10">
        <v>0.73799999999999999</v>
      </c>
      <c r="F49" s="41">
        <v>6696.5445026178204</v>
      </c>
      <c r="G49" s="6" t="s">
        <v>39</v>
      </c>
      <c r="H49" s="7" t="s">
        <v>32</v>
      </c>
      <c r="I49" s="11">
        <v>7.16249999999998E-2</v>
      </c>
      <c r="J49" s="17"/>
      <c r="K49" s="17"/>
      <c r="L49" s="17"/>
      <c r="M49" s="17"/>
      <c r="N49" s="17"/>
      <c r="O49" s="17"/>
      <c r="P49" s="20">
        <v>1.3184581958078201</v>
      </c>
      <c r="Q49" s="17"/>
      <c r="R49" s="17"/>
      <c r="S49" s="17"/>
      <c r="T49" s="17"/>
      <c r="U49" s="17"/>
      <c r="V49" s="17"/>
      <c r="W49" s="20">
        <v>2.4583986567817702</v>
      </c>
      <c r="X49" s="17"/>
      <c r="Y49" s="17"/>
      <c r="Z49" s="17"/>
      <c r="AA49" s="17"/>
      <c r="AB49" s="17"/>
      <c r="AC49" s="20">
        <v>1.1406753375546499</v>
      </c>
      <c r="AD49" s="13">
        <v>-1.3177233192271203</v>
      </c>
      <c r="AE49" s="12">
        <v>1.5533689797210808</v>
      </c>
      <c r="AF49" s="12">
        <v>2.1552132985114074</v>
      </c>
      <c r="AG49" s="19">
        <f t="shared" si="0"/>
        <v>234.97314853392947</v>
      </c>
    </row>
    <row r="50" spans="1:33" ht="15" x14ac:dyDescent="0.2">
      <c r="A50" s="16" t="s">
        <v>90</v>
      </c>
      <c r="B50" s="7" t="s">
        <v>27</v>
      </c>
      <c r="C50" s="8">
        <v>70.8</v>
      </c>
      <c r="D50" s="9">
        <v>73.891999999999996</v>
      </c>
      <c r="E50" s="10">
        <v>0.751</v>
      </c>
      <c r="F50" s="41">
        <v>7697.7729584686849</v>
      </c>
      <c r="G50" s="6" t="s">
        <v>39</v>
      </c>
      <c r="H50" s="7" t="s">
        <v>32</v>
      </c>
      <c r="I50" s="11">
        <v>10.627099609375</v>
      </c>
      <c r="J50" s="12">
        <v>0.30781979215299798</v>
      </c>
      <c r="K50" s="12">
        <v>0.10743540166215899</v>
      </c>
      <c r="L50" s="12">
        <v>3.92613135665177E-2</v>
      </c>
      <c r="M50" s="12">
        <v>1.09438901663187E-2</v>
      </c>
      <c r="N50" s="12">
        <v>6.3000867460857105E-2</v>
      </c>
      <c r="O50" s="12">
        <v>0.80020515159139005</v>
      </c>
      <c r="P50" s="20">
        <v>1.32866641660024</v>
      </c>
      <c r="Q50" s="12">
        <v>0.39347642706728603</v>
      </c>
      <c r="R50" s="12">
        <v>0.132922539461622</v>
      </c>
      <c r="S50" s="12">
        <v>0.126868032757952</v>
      </c>
      <c r="T50" s="12">
        <v>4.0676307560292897E-2</v>
      </c>
      <c r="U50" s="12">
        <v>6.3000867460857105E-2</v>
      </c>
      <c r="V50" s="12">
        <v>1.01189961082139</v>
      </c>
      <c r="W50" s="20">
        <v>1.7688437851294001</v>
      </c>
      <c r="X50" s="12">
        <v>0.30781979215299798</v>
      </c>
      <c r="Y50" s="12">
        <v>0.10743540166215899</v>
      </c>
      <c r="Z50" s="12">
        <v>0.16603350932734301</v>
      </c>
      <c r="AA50" s="12">
        <v>2.3502637222864799E-2</v>
      </c>
      <c r="AB50" s="12">
        <v>6.3000867460857105E-2</v>
      </c>
      <c r="AC50" s="20">
        <v>0.66779220782622195</v>
      </c>
      <c r="AD50" s="13">
        <v>-1.1010515773031782</v>
      </c>
      <c r="AE50" s="12">
        <v>1.1176653787263839</v>
      </c>
      <c r="AF50" s="12">
        <v>2.6487936882152154</v>
      </c>
      <c r="AG50" s="19">
        <f t="shared" si="0"/>
        <v>326.57359433995293</v>
      </c>
    </row>
    <row r="51" spans="1:33" ht="15" x14ac:dyDescent="0.2">
      <c r="A51" s="16" t="s">
        <v>91</v>
      </c>
      <c r="B51" s="7" t="s">
        <v>38</v>
      </c>
      <c r="C51" s="8">
        <v>72.5</v>
      </c>
      <c r="D51" s="9">
        <v>76.8</v>
      </c>
      <c r="E51" s="10">
        <v>0.76200000000000001</v>
      </c>
      <c r="F51" s="41">
        <v>5180.5856791186252</v>
      </c>
      <c r="G51" s="6" t="s">
        <v>42</v>
      </c>
      <c r="H51" s="7" t="s">
        <v>32</v>
      </c>
      <c r="I51" s="11">
        <v>17.0844003906249</v>
      </c>
      <c r="J51" s="17"/>
      <c r="K51" s="17"/>
      <c r="L51" s="17"/>
      <c r="M51" s="17"/>
      <c r="N51" s="17"/>
      <c r="O51" s="17"/>
      <c r="P51" s="20">
        <v>2.2660010912640201</v>
      </c>
      <c r="Q51" s="17"/>
      <c r="R51" s="17"/>
      <c r="S51" s="17"/>
      <c r="T51" s="17"/>
      <c r="U51" s="17"/>
      <c r="V51" s="17"/>
      <c r="W51" s="20">
        <v>1.70246786871039</v>
      </c>
      <c r="X51" s="17"/>
      <c r="Y51" s="17"/>
      <c r="Z51" s="17"/>
      <c r="AA51" s="17"/>
      <c r="AB51" s="17"/>
      <c r="AC51" s="20">
        <v>1.8857887900647099</v>
      </c>
      <c r="AD51" s="13">
        <v>0.18332092135431988</v>
      </c>
      <c r="AE51" s="12">
        <v>1.0757249516595944</v>
      </c>
      <c r="AF51" s="12">
        <v>0.90278820071465726</v>
      </c>
      <c r="AG51" s="19">
        <f t="shared" si="0"/>
        <v>339.30606465610896</v>
      </c>
    </row>
    <row r="52" spans="1:33" ht="15" x14ac:dyDescent="0.2">
      <c r="A52" s="16" t="s">
        <v>92</v>
      </c>
      <c r="B52" s="7" t="s">
        <v>38</v>
      </c>
      <c r="C52" s="8">
        <v>68.599999999999994</v>
      </c>
      <c r="D52" s="9">
        <v>71.825000000000003</v>
      </c>
      <c r="E52" s="10">
        <v>0.70099999999999996</v>
      </c>
      <c r="F52" s="41">
        <v>2905.8070976846739</v>
      </c>
      <c r="G52" s="6" t="s">
        <v>34</v>
      </c>
      <c r="H52" s="7" t="s">
        <v>36</v>
      </c>
      <c r="I52" s="11">
        <v>98.423601562499698</v>
      </c>
      <c r="J52" s="17"/>
      <c r="K52" s="17"/>
      <c r="L52" s="17"/>
      <c r="M52" s="17"/>
      <c r="N52" s="17"/>
      <c r="O52" s="17"/>
      <c r="P52" s="20">
        <v>1.30928931544227</v>
      </c>
      <c r="Q52" s="17"/>
      <c r="R52" s="17"/>
      <c r="S52" s="17"/>
      <c r="T52" s="17"/>
      <c r="U52" s="17"/>
      <c r="V52" s="17"/>
      <c r="W52" s="20">
        <v>1.83631018042192</v>
      </c>
      <c r="X52" s="17"/>
      <c r="Y52" s="17"/>
      <c r="Z52" s="17"/>
      <c r="AA52" s="17"/>
      <c r="AB52" s="17"/>
      <c r="AC52" s="20">
        <v>0.36571010314864799</v>
      </c>
      <c r="AD52" s="13">
        <v>-1.4706000772732719</v>
      </c>
      <c r="AE52" s="12">
        <v>1.1602948380827409</v>
      </c>
      <c r="AF52" s="12">
        <v>5.0212180757705944</v>
      </c>
      <c r="AG52" s="19">
        <f t="shared" si="0"/>
        <v>314.57521659160545</v>
      </c>
    </row>
    <row r="53" spans="1:33" ht="15" x14ac:dyDescent="0.2">
      <c r="A53" s="16" t="s">
        <v>93</v>
      </c>
      <c r="B53" s="7" t="s">
        <v>27</v>
      </c>
      <c r="C53" s="8">
        <v>67.900000000000006</v>
      </c>
      <c r="D53" s="9">
        <v>73.096000000000004</v>
      </c>
      <c r="E53" s="10">
        <v>0.67</v>
      </c>
      <c r="F53" s="41">
        <v>3507.0513569287077</v>
      </c>
      <c r="G53" s="6" t="s">
        <v>39</v>
      </c>
      <c r="H53" s="7" t="s">
        <v>36</v>
      </c>
      <c r="I53" s="11">
        <v>6.42075</v>
      </c>
      <c r="J53" s="12">
        <v>0.210416397591599</v>
      </c>
      <c r="K53" s="12">
        <v>9.93453720943967E-2</v>
      </c>
      <c r="L53" s="12">
        <v>0.31652133667242999</v>
      </c>
      <c r="M53" s="12">
        <v>0.19658589195058199</v>
      </c>
      <c r="N53" s="12">
        <v>4.2399883397974403E-2</v>
      </c>
      <c r="O53" s="12">
        <v>0.35604719979668897</v>
      </c>
      <c r="P53" s="20">
        <v>1.2213160815036701</v>
      </c>
      <c r="Q53" s="12">
        <v>0.44000872525971502</v>
      </c>
      <c r="R53" s="12">
        <v>0.19299430032353701</v>
      </c>
      <c r="S53" s="12">
        <v>0.419115179081467</v>
      </c>
      <c r="T53" s="12">
        <v>0.14286589440057701</v>
      </c>
      <c r="U53" s="12">
        <v>4.2399883397974403E-2</v>
      </c>
      <c r="V53" s="12">
        <v>0.79065199244681195</v>
      </c>
      <c r="W53" s="20">
        <v>2.0280359749100798</v>
      </c>
      <c r="X53" s="12">
        <v>0.210416397591599</v>
      </c>
      <c r="Y53" s="12">
        <v>0.13938877388158599</v>
      </c>
      <c r="Z53" s="12">
        <v>8.7567337379094695E-2</v>
      </c>
      <c r="AA53" s="12">
        <v>0.109250647230487</v>
      </c>
      <c r="AB53" s="12">
        <v>4.2399883397974403E-2</v>
      </c>
      <c r="AC53" s="20">
        <v>0.58902303948074097</v>
      </c>
      <c r="AD53" s="13">
        <v>-1.4390129354293388</v>
      </c>
      <c r="AE53" s="12">
        <v>1.2814391044728619</v>
      </c>
      <c r="AF53" s="12">
        <v>3.4430503375520161</v>
      </c>
      <c r="AG53" s="19">
        <f t="shared" si="0"/>
        <v>284.83600877011469</v>
      </c>
    </row>
    <row r="54" spans="1:33" ht="15" x14ac:dyDescent="0.2">
      <c r="A54" s="16" t="s">
        <v>94</v>
      </c>
      <c r="B54" s="7" t="s">
        <v>56</v>
      </c>
      <c r="C54" s="17"/>
      <c r="D54" s="9">
        <v>58.402000000000001</v>
      </c>
      <c r="E54" s="10">
        <v>0.58199999999999996</v>
      </c>
      <c r="F54" s="41">
        <v>10134.6862776952</v>
      </c>
      <c r="G54" s="6" t="s">
        <v>34</v>
      </c>
      <c r="H54" s="7" t="s">
        <v>40</v>
      </c>
      <c r="I54" s="11">
        <v>1.3089699707031202</v>
      </c>
      <c r="J54" s="12">
        <v>8.0155406699207996E-2</v>
      </c>
      <c r="K54" s="12">
        <v>5.35446170148462E-3</v>
      </c>
      <c r="L54" s="12">
        <v>0.81799553236747402</v>
      </c>
      <c r="M54" s="12">
        <v>1.4438987233390699E-2</v>
      </c>
      <c r="N54" s="12">
        <v>2.3078122018466998E-2</v>
      </c>
      <c r="O54" s="12">
        <v>1.5312348637800799</v>
      </c>
      <c r="P54" s="20">
        <v>2.4722573738001001</v>
      </c>
      <c r="Q54" s="12">
        <v>0.23975502545928401</v>
      </c>
      <c r="R54" s="12">
        <v>2.4066410170332501E-2</v>
      </c>
      <c r="S54" s="12">
        <v>0.15185672337859299</v>
      </c>
      <c r="T54" s="12">
        <v>5.1753436123246198E-2</v>
      </c>
      <c r="U54" s="12">
        <v>2.3078122018466998E-2</v>
      </c>
      <c r="V54" s="12">
        <v>1.5312348637800799</v>
      </c>
      <c r="W54" s="20">
        <v>2.0217445809300001</v>
      </c>
      <c r="X54" s="12">
        <v>8.0155406699207996E-2</v>
      </c>
      <c r="Y54" s="12">
        <v>8.2529582543388103E-2</v>
      </c>
      <c r="Z54" s="12">
        <v>2.60265053025836</v>
      </c>
      <c r="AA54" s="12">
        <v>0.56796566037826701</v>
      </c>
      <c r="AB54" s="12">
        <v>2.3078122018466998E-2</v>
      </c>
      <c r="AC54" s="20">
        <v>3.35637930189769</v>
      </c>
      <c r="AD54" s="13">
        <v>1.3346347209676899</v>
      </c>
      <c r="AE54" s="12">
        <v>1.2774638109536842</v>
      </c>
      <c r="AF54" s="12">
        <v>0.60235879174529228</v>
      </c>
      <c r="AG54" s="19">
        <f t="shared" si="0"/>
        <v>285.72237966374257</v>
      </c>
    </row>
    <row r="55" spans="1:33" ht="15" x14ac:dyDescent="0.2">
      <c r="A55" s="16" t="s">
        <v>95</v>
      </c>
      <c r="B55" s="7" t="s">
        <v>27</v>
      </c>
      <c r="C55" s="17"/>
      <c r="D55" s="9">
        <v>65.941000000000003</v>
      </c>
      <c r="E55" s="10">
        <v>0.45600000000000002</v>
      </c>
      <c r="F55" s="41" t="s">
        <v>88</v>
      </c>
      <c r="G55" s="6" t="s">
        <v>34</v>
      </c>
      <c r="H55" s="7" t="s">
        <v>29</v>
      </c>
      <c r="I55" s="11">
        <v>3.4527900390625001</v>
      </c>
      <c r="J55" s="12">
        <v>0.13422458235706999</v>
      </c>
      <c r="K55" s="12">
        <v>0.32768045348111802</v>
      </c>
      <c r="L55" s="12">
        <v>0.113810918605388</v>
      </c>
      <c r="M55" s="12">
        <v>2.93345386692777E-2</v>
      </c>
      <c r="N55" s="12">
        <v>4.3237772757459603E-2</v>
      </c>
      <c r="O55" s="12">
        <v>8.3701999736317104E-2</v>
      </c>
      <c r="P55" s="20">
        <v>0.73199026560663105</v>
      </c>
      <c r="Q55" s="12">
        <v>0.21361207386654099</v>
      </c>
      <c r="R55" s="12">
        <v>0.32863087751775799</v>
      </c>
      <c r="S55" s="12">
        <v>0.116327979944918</v>
      </c>
      <c r="T55" s="12">
        <v>2.91538330320609E-2</v>
      </c>
      <c r="U55" s="12">
        <v>4.3237772757459603E-2</v>
      </c>
      <c r="V55" s="12">
        <v>8.3701999736317104E-2</v>
      </c>
      <c r="W55" s="20">
        <v>0.81466453685505502</v>
      </c>
      <c r="X55" s="12">
        <v>0.13422458235706999</v>
      </c>
      <c r="Y55" s="12">
        <v>0.32768045348111802</v>
      </c>
      <c r="Z55" s="12">
        <v>0.103791010676952</v>
      </c>
      <c r="AA55" s="12">
        <v>1.6456445600901199</v>
      </c>
      <c r="AB55" s="12">
        <v>4.3237772757459603E-2</v>
      </c>
      <c r="AC55" s="20">
        <v>2.2545783793627199</v>
      </c>
      <c r="AD55" s="13">
        <v>1.4399138425076647</v>
      </c>
      <c r="AE55" s="12">
        <v>0.51475565890769137</v>
      </c>
      <c r="AF55" s="12">
        <v>0.36133786445930899</v>
      </c>
      <c r="AG55" s="21" t="str">
        <f t="shared" si="0"/>
        <v/>
      </c>
    </row>
    <row r="56" spans="1:33" ht="15" x14ac:dyDescent="0.2">
      <c r="A56" s="16" t="s">
        <v>96</v>
      </c>
      <c r="B56" s="7" t="s">
        <v>27</v>
      </c>
      <c r="C56" s="8">
        <v>81.599999999999994</v>
      </c>
      <c r="D56" s="9">
        <v>78.243899999999996</v>
      </c>
      <c r="E56" s="10">
        <v>0.88900000000000001</v>
      </c>
      <c r="F56" s="41">
        <v>19918.664110201775</v>
      </c>
      <c r="G56" s="6" t="s">
        <v>47</v>
      </c>
      <c r="H56" s="7" t="s">
        <v>40</v>
      </c>
      <c r="I56" s="11">
        <v>1.3229200439453099</v>
      </c>
      <c r="J56" s="12">
        <v>0.89278404038522696</v>
      </c>
      <c r="K56" s="12">
        <v>0.102397016724005</v>
      </c>
      <c r="L56" s="12">
        <v>5.2741637314056797</v>
      </c>
      <c r="M56" s="12">
        <v>0.25142349236169198</v>
      </c>
      <c r="N56" s="12">
        <v>8.2423027252608597E-2</v>
      </c>
      <c r="O56" s="12">
        <v>3.9630930296745599</v>
      </c>
      <c r="P56" s="20">
        <v>10.5662843378038</v>
      </c>
      <c r="Q56" s="12">
        <v>0.293919909586631</v>
      </c>
      <c r="R56" s="12">
        <v>0.16365674685340001</v>
      </c>
      <c r="S56" s="12">
        <v>4.0339526024872701</v>
      </c>
      <c r="T56" s="12">
        <v>7.7121723404860107E-2</v>
      </c>
      <c r="U56" s="12">
        <v>8.2423027252608597E-2</v>
      </c>
      <c r="V56" s="12">
        <v>3.35836649650104</v>
      </c>
      <c r="W56" s="20">
        <v>8.0094405060858005</v>
      </c>
      <c r="X56" s="12">
        <v>0.89278404038522696</v>
      </c>
      <c r="Y56" s="12">
        <v>0.102397016724005</v>
      </c>
      <c r="Z56" s="12">
        <v>3.9891857144298601</v>
      </c>
      <c r="AA56" s="12">
        <v>4.2649967462826597</v>
      </c>
      <c r="AB56" s="12">
        <v>8.2423027252608597E-2</v>
      </c>
      <c r="AC56" s="20">
        <v>9.33178654507436</v>
      </c>
      <c r="AD56" s="13">
        <v>1.3223460389885595</v>
      </c>
      <c r="AE56" s="12">
        <v>5.0608620342162949</v>
      </c>
      <c r="AF56" s="12">
        <v>0.85829658312463875</v>
      </c>
      <c r="AG56" s="19">
        <f t="shared" si="0"/>
        <v>72.122100450920996</v>
      </c>
    </row>
    <row r="57" spans="1:33" ht="15" x14ac:dyDescent="0.2">
      <c r="A57" s="16" t="s">
        <v>97</v>
      </c>
      <c r="B57" s="7" t="s">
        <v>27</v>
      </c>
      <c r="C57" s="8">
        <v>53.3</v>
      </c>
      <c r="D57" s="9">
        <v>59.401000000000003</v>
      </c>
      <c r="E57" s="10">
        <v>0.60499999999999998</v>
      </c>
      <c r="F57" s="41">
        <v>4761.590330288579</v>
      </c>
      <c r="G57" s="6" t="s">
        <v>34</v>
      </c>
      <c r="H57" s="7" t="s">
        <v>36</v>
      </c>
      <c r="I57" s="11">
        <v>1.1362800292968702</v>
      </c>
      <c r="J57" s="12">
        <v>0.27935672440341902</v>
      </c>
      <c r="K57" s="12">
        <v>0.40155759990161199</v>
      </c>
      <c r="L57" s="12">
        <v>1.17450917230864</v>
      </c>
      <c r="M57" s="12">
        <v>8.7101060587321203E-5</v>
      </c>
      <c r="N57" s="12">
        <v>6.9788898712181996E-2</v>
      </c>
      <c r="O57" s="12">
        <v>0.36578219150199698</v>
      </c>
      <c r="P57" s="20">
        <v>2.2910816878884299</v>
      </c>
      <c r="Q57" s="12">
        <v>0.4385463766969</v>
      </c>
      <c r="R57" s="12">
        <v>0.46557173715551298</v>
      </c>
      <c r="S57" s="12">
        <v>0.97769914895493404</v>
      </c>
      <c r="T57" s="12">
        <v>1.88716092068935E-2</v>
      </c>
      <c r="U57" s="12">
        <v>6.9788898712181996E-2</v>
      </c>
      <c r="V57" s="12">
        <v>0.493417776038449</v>
      </c>
      <c r="W57" s="20">
        <v>2.4638955467648702</v>
      </c>
      <c r="X57" s="12">
        <v>0.27935672440341902</v>
      </c>
      <c r="Y57" s="12">
        <v>0.553812714265285</v>
      </c>
      <c r="Z57" s="12">
        <v>4.8305667911895299E-2</v>
      </c>
      <c r="AA57" s="12">
        <v>5.1324049696667897E-3</v>
      </c>
      <c r="AB57" s="12">
        <v>6.9788898712181996E-2</v>
      </c>
      <c r="AC57" s="20">
        <v>0.95639641026244704</v>
      </c>
      <c r="AD57" s="13">
        <v>-1.5074991365024233</v>
      </c>
      <c r="AE57" s="12">
        <v>1.5568422562627564</v>
      </c>
      <c r="AF57" s="12">
        <v>2.5762283508453852</v>
      </c>
      <c r="AG57" s="19">
        <f t="shared" si="0"/>
        <v>234.44892925516601</v>
      </c>
    </row>
    <row r="58" spans="1:33" ht="15" x14ac:dyDescent="0.2">
      <c r="A58" s="16" t="s">
        <v>98</v>
      </c>
      <c r="B58" s="7" t="s">
        <v>27</v>
      </c>
      <c r="C58" s="8">
        <v>54.5</v>
      </c>
      <c r="D58" s="9">
        <v>66.239999999999995</v>
      </c>
      <c r="E58" s="10">
        <v>0.47799999999999998</v>
      </c>
      <c r="F58" s="41">
        <v>570.65480114260606</v>
      </c>
      <c r="G58" s="6" t="s">
        <v>34</v>
      </c>
      <c r="H58" s="7" t="s">
        <v>29</v>
      </c>
      <c r="I58" s="11">
        <v>109.224</v>
      </c>
      <c r="J58" s="12">
        <v>0.334250128720671</v>
      </c>
      <c r="K58" s="12">
        <v>0.100645260382697</v>
      </c>
      <c r="L58" s="12">
        <v>0.40495248493742197</v>
      </c>
      <c r="M58" s="12">
        <v>1.40342111763458E-3</v>
      </c>
      <c r="N58" s="12">
        <v>6.7530577813798301E-2</v>
      </c>
      <c r="O58" s="12">
        <v>5.0354354920689397E-2</v>
      </c>
      <c r="P58" s="20">
        <v>0.95913622789291297</v>
      </c>
      <c r="Q58" s="12">
        <v>0.34701975436569898</v>
      </c>
      <c r="R58" s="12">
        <v>9.9524410555346998E-2</v>
      </c>
      <c r="S58" s="12">
        <v>0.407392763385233</v>
      </c>
      <c r="T58" s="12">
        <v>1.4500100473877201E-3</v>
      </c>
      <c r="U58" s="12">
        <v>6.7530577813798301E-2</v>
      </c>
      <c r="V58" s="12">
        <v>9.7606764715984007E-2</v>
      </c>
      <c r="W58" s="20">
        <v>1.02052428088345</v>
      </c>
      <c r="X58" s="12">
        <v>0.334250128720671</v>
      </c>
      <c r="Y58" s="12">
        <v>0.100645260382697</v>
      </c>
      <c r="Z58" s="12">
        <v>5.3205131262984998E-2</v>
      </c>
      <c r="AA58" s="12">
        <v>2.32228926918643E-3</v>
      </c>
      <c r="AB58" s="12">
        <v>6.7530577813798301E-2</v>
      </c>
      <c r="AC58" s="20">
        <v>0.55795338744933798</v>
      </c>
      <c r="AD58" s="13">
        <v>-0.46257089343411206</v>
      </c>
      <c r="AE58" s="12">
        <v>0.64483063257597428</v>
      </c>
      <c r="AF58" s="12">
        <v>1.8290493504282441</v>
      </c>
      <c r="AG58" s="21" t="str">
        <f t="shared" si="0"/>
        <v/>
      </c>
    </row>
    <row r="59" spans="1:33" ht="15" x14ac:dyDescent="0.2">
      <c r="A59" s="16" t="s">
        <v>99</v>
      </c>
      <c r="B59" s="7" t="s">
        <v>27</v>
      </c>
      <c r="C59" s="8">
        <v>71.2</v>
      </c>
      <c r="D59" s="9">
        <v>67.340999999999994</v>
      </c>
      <c r="E59" s="10">
        <v>0.74199999999999999</v>
      </c>
      <c r="F59" s="41">
        <v>4794.6821140056518</v>
      </c>
      <c r="G59" s="6" t="s">
        <v>45</v>
      </c>
      <c r="H59" s="7" t="s">
        <v>32</v>
      </c>
      <c r="I59" s="11">
        <v>0.88348297119140495</v>
      </c>
      <c r="J59" s="12">
        <v>0.16938717762851699</v>
      </c>
      <c r="K59" s="12">
        <v>8.9754061816350802E-2</v>
      </c>
      <c r="L59" s="12">
        <v>0.64417857943414203</v>
      </c>
      <c r="M59" s="12">
        <v>0.52772087121042599</v>
      </c>
      <c r="N59" s="12">
        <v>2.5833441716467401E-2</v>
      </c>
      <c r="O59" s="12">
        <v>0.45184359881942399</v>
      </c>
      <c r="P59" s="20">
        <v>1.90871773062533</v>
      </c>
      <c r="Q59" s="12">
        <v>0.42707648482416499</v>
      </c>
      <c r="R59" s="12">
        <v>0.217241182316632</v>
      </c>
      <c r="S59" s="12">
        <v>0.76563240029071</v>
      </c>
      <c r="T59" s="12">
        <v>0.534658021263824</v>
      </c>
      <c r="U59" s="12">
        <v>2.5833441716467401E-2</v>
      </c>
      <c r="V59" s="12">
        <v>0.696886938016122</v>
      </c>
      <c r="W59" s="20">
        <v>2.6673284684279199</v>
      </c>
      <c r="X59" s="12">
        <v>0.16938717762851699</v>
      </c>
      <c r="Y59" s="12">
        <v>8.9754061816350802E-2</v>
      </c>
      <c r="Z59" s="12">
        <v>1.40990104205057</v>
      </c>
      <c r="AA59" s="12">
        <v>0.64692109895967698</v>
      </c>
      <c r="AB59" s="12">
        <v>2.5833441716467401E-2</v>
      </c>
      <c r="AC59" s="20">
        <v>2.3417968221715801</v>
      </c>
      <c r="AD59" s="13">
        <v>-0.32553164625633979</v>
      </c>
      <c r="AE59" s="12">
        <v>1.6853838128136724</v>
      </c>
      <c r="AF59" s="12">
        <v>1.1390093466582083</v>
      </c>
      <c r="AG59" s="19">
        <f t="shared" si="0"/>
        <v>216.56788039909372</v>
      </c>
    </row>
    <row r="60" spans="1:33" ht="15" x14ac:dyDescent="0.2">
      <c r="A60" s="16" t="s">
        <v>100</v>
      </c>
      <c r="B60" s="7" t="s">
        <v>27</v>
      </c>
      <c r="C60" s="8">
        <v>85.9</v>
      </c>
      <c r="D60" s="9">
        <v>81.734099999999998</v>
      </c>
      <c r="E60" s="10">
        <v>0.93700000000000006</v>
      </c>
      <c r="F60" s="41">
        <v>48890.191935735427</v>
      </c>
      <c r="G60" s="6" t="s">
        <v>47</v>
      </c>
      <c r="H60" s="7" t="s">
        <v>40</v>
      </c>
      <c r="I60" s="11">
        <v>5.5225800781250003</v>
      </c>
      <c r="J60" s="12">
        <v>0.56834907592662998</v>
      </c>
      <c r="K60" s="12">
        <v>7.6932346481538294E-2</v>
      </c>
      <c r="L60" s="12">
        <v>8.1360077254155598</v>
      </c>
      <c r="M60" s="12">
        <v>0.147421145757726</v>
      </c>
      <c r="N60" s="12">
        <v>9.6522069456507306E-2</v>
      </c>
      <c r="O60" s="12">
        <v>2.8316799757634699</v>
      </c>
      <c r="P60" s="20">
        <v>11.856912338801401</v>
      </c>
      <c r="Q60" s="12">
        <v>0.71676408415113402</v>
      </c>
      <c r="R60" s="12">
        <v>0.187605542410406</v>
      </c>
      <c r="S60" s="12">
        <v>1.1607504711875201</v>
      </c>
      <c r="T60" s="12">
        <v>0.207071530815818</v>
      </c>
      <c r="U60" s="12">
        <v>9.6522069456507306E-2</v>
      </c>
      <c r="V60" s="12">
        <v>4.0747504745922098</v>
      </c>
      <c r="W60" s="20">
        <v>6.4434641726135897</v>
      </c>
      <c r="X60" s="12">
        <v>0.56834907592662898</v>
      </c>
      <c r="Y60" s="12">
        <v>7.6932346481538294E-2</v>
      </c>
      <c r="Z60" s="12">
        <v>9.1272502321948696</v>
      </c>
      <c r="AA60" s="12">
        <v>2.26938606211462</v>
      </c>
      <c r="AB60" s="12">
        <v>9.6522069456507306E-2</v>
      </c>
      <c r="AC60" s="20">
        <v>12.138439786174199</v>
      </c>
      <c r="AD60" s="13">
        <v>5.6949756135606098</v>
      </c>
      <c r="AE60" s="12">
        <v>4.0713809129658198</v>
      </c>
      <c r="AF60" s="12">
        <v>0.53083133303118235</v>
      </c>
      <c r="AG60" s="19">
        <f t="shared" si="0"/>
        <v>89.650172214938678</v>
      </c>
    </row>
    <row r="61" spans="1:33" ht="15" x14ac:dyDescent="0.2">
      <c r="A61" s="16" t="s">
        <v>101</v>
      </c>
      <c r="B61" s="7" t="s">
        <v>27</v>
      </c>
      <c r="C61" s="8">
        <v>81.7</v>
      </c>
      <c r="D61" s="9">
        <v>82.724400000000003</v>
      </c>
      <c r="E61" s="10">
        <v>0.89800000000000002</v>
      </c>
      <c r="F61" s="41">
        <v>45056.682770209962</v>
      </c>
      <c r="G61" s="6" t="s">
        <v>47</v>
      </c>
      <c r="H61" s="7" t="s">
        <v>40</v>
      </c>
      <c r="I61" s="11">
        <v>65.029199218749909</v>
      </c>
      <c r="J61" s="12">
        <v>1.08931925330005</v>
      </c>
      <c r="K61" s="12">
        <v>0.157550574269054</v>
      </c>
      <c r="L61" s="12">
        <v>0.41452958947310398</v>
      </c>
      <c r="M61" s="12">
        <v>0.13850510472167199</v>
      </c>
      <c r="N61" s="12">
        <v>0.15129002800705901</v>
      </c>
      <c r="O61" s="12">
        <v>1.6812781872935201</v>
      </c>
      <c r="P61" s="20">
        <v>3.6324727370644601</v>
      </c>
      <c r="Q61" s="12">
        <v>0.79120247381515496</v>
      </c>
      <c r="R61" s="12">
        <v>0.243761705459732</v>
      </c>
      <c r="S61" s="12">
        <v>0.50944427140181903</v>
      </c>
      <c r="T61" s="12">
        <v>0.21700973469906701</v>
      </c>
      <c r="U61" s="12">
        <v>0.15129002800705901</v>
      </c>
      <c r="V61" s="12">
        <v>2.5083231077948702</v>
      </c>
      <c r="W61" s="20">
        <v>4.4210313211776997</v>
      </c>
      <c r="X61" s="12">
        <v>1.08931925330005</v>
      </c>
      <c r="Y61" s="12">
        <v>0.157550574269054</v>
      </c>
      <c r="Z61" s="12">
        <v>0.87160383921834095</v>
      </c>
      <c r="AA61" s="12">
        <v>0.11022321464611901</v>
      </c>
      <c r="AB61" s="12">
        <v>0.15129002800705901</v>
      </c>
      <c r="AC61" s="20">
        <v>2.3799869094406199</v>
      </c>
      <c r="AD61" s="13">
        <v>-2.0410444117370798</v>
      </c>
      <c r="AE61" s="12">
        <v>2.7934822099532113</v>
      </c>
      <c r="AF61" s="12">
        <v>1.8575864025305906</v>
      </c>
      <c r="AG61" s="19">
        <f t="shared" si="0"/>
        <v>130.66129388599668</v>
      </c>
    </row>
    <row r="62" spans="1:33" ht="15" x14ac:dyDescent="0.2">
      <c r="A62" s="16" t="s">
        <v>102</v>
      </c>
      <c r="B62" s="7" t="s">
        <v>56</v>
      </c>
      <c r="C62" s="17" t="s">
        <v>103</v>
      </c>
      <c r="D62" s="22" t="s">
        <v>103</v>
      </c>
      <c r="E62" s="23" t="s">
        <v>103</v>
      </c>
      <c r="F62" s="42" t="s">
        <v>103</v>
      </c>
      <c r="G62" s="6" t="s">
        <v>42</v>
      </c>
      <c r="H62" s="6"/>
      <c r="I62" s="11">
        <v>0.28293798828125</v>
      </c>
      <c r="J62" s="12">
        <v>8.9147876907335402E-2</v>
      </c>
      <c r="K62" s="12">
        <v>5.7279948293215699E-2</v>
      </c>
      <c r="L62" s="12">
        <v>0.38122467665325999</v>
      </c>
      <c r="M62" s="12">
        <v>6.9496626364605504E-2</v>
      </c>
      <c r="N62" s="12">
        <v>5.0519070687023203E-3</v>
      </c>
      <c r="O62" s="12">
        <v>0.73301317549966105</v>
      </c>
      <c r="P62" s="20">
        <v>1.3352142107867799</v>
      </c>
      <c r="Q62" s="12">
        <v>8.9147876907335402E-2</v>
      </c>
      <c r="R62" s="12">
        <v>5.7279948293215699E-2</v>
      </c>
      <c r="S62" s="12">
        <v>0.37233695664210897</v>
      </c>
      <c r="T62" s="12">
        <v>6.9496626364605504E-2</v>
      </c>
      <c r="U62" s="12">
        <v>5.0519070687023203E-3</v>
      </c>
      <c r="V62" s="12">
        <v>1.28510463972094</v>
      </c>
      <c r="W62" s="20">
        <v>1.8784179549969</v>
      </c>
      <c r="X62" s="12">
        <v>8.9147876907335402E-2</v>
      </c>
      <c r="Y62" s="12">
        <v>6.6529067041634596E-2</v>
      </c>
      <c r="Z62" s="12">
        <v>78.245519539799602</v>
      </c>
      <c r="AA62" s="12">
        <v>13.7336719871432</v>
      </c>
      <c r="AB62" s="12">
        <v>5.0519070687023203E-3</v>
      </c>
      <c r="AC62" s="20">
        <v>92.139920377960493</v>
      </c>
      <c r="AD62" s="13">
        <v>90.261502422963588</v>
      </c>
      <c r="AE62" s="12">
        <v>1.1869011456681375</v>
      </c>
      <c r="AF62" s="12">
        <v>2.038658105294185E-2</v>
      </c>
      <c r="AG62" s="19">
        <f t="shared" si="0"/>
        <v>307.52350465929663</v>
      </c>
    </row>
    <row r="63" spans="1:33" ht="15" x14ac:dyDescent="0.2">
      <c r="A63" s="16" t="s">
        <v>104</v>
      </c>
      <c r="B63" s="7" t="s">
        <v>38</v>
      </c>
      <c r="C63" s="17" t="s">
        <v>103</v>
      </c>
      <c r="D63" s="9">
        <v>77.462000000000003</v>
      </c>
      <c r="E63" s="23" t="s">
        <v>103</v>
      </c>
      <c r="F63" s="41" t="s">
        <v>88</v>
      </c>
      <c r="G63" s="6" t="s">
        <v>45</v>
      </c>
      <c r="H63" s="7" t="s">
        <v>40</v>
      </c>
      <c r="I63" s="11">
        <v>0.27767898559570303</v>
      </c>
      <c r="J63" s="17"/>
      <c r="K63" s="17"/>
      <c r="L63" s="17"/>
      <c r="M63" s="17"/>
      <c r="N63" s="17"/>
      <c r="O63" s="17"/>
      <c r="P63" s="20">
        <v>2.1240954016283902</v>
      </c>
      <c r="Q63" s="17"/>
      <c r="R63" s="17"/>
      <c r="S63" s="17"/>
      <c r="T63" s="17"/>
      <c r="U63" s="17"/>
      <c r="V63" s="17"/>
      <c r="W63" s="20">
        <v>3.9957407175820001</v>
      </c>
      <c r="X63" s="17"/>
      <c r="Y63" s="17"/>
      <c r="Z63" s="17"/>
      <c r="AA63" s="17"/>
      <c r="AB63" s="17"/>
      <c r="AC63" s="20">
        <v>1.30575229662656</v>
      </c>
      <c r="AD63" s="13">
        <v>-2.6899884209554399</v>
      </c>
      <c r="AE63" s="12">
        <v>2.5247571888220843</v>
      </c>
      <c r="AF63" s="12">
        <v>3.0601062145592888</v>
      </c>
      <c r="AG63" s="19">
        <f t="shared" si="0"/>
        <v>144.56835754977664</v>
      </c>
    </row>
    <row r="64" spans="1:33" ht="15" x14ac:dyDescent="0.2">
      <c r="A64" s="16" t="s">
        <v>105</v>
      </c>
      <c r="B64" s="7" t="s">
        <v>56</v>
      </c>
      <c r="C64" s="8">
        <v>62.8</v>
      </c>
      <c r="D64" s="9">
        <v>66.186999999999998</v>
      </c>
      <c r="E64" s="10">
        <v>0.69699999999999995</v>
      </c>
      <c r="F64" s="41">
        <v>9051.324193338467</v>
      </c>
      <c r="G64" s="6" t="s">
        <v>34</v>
      </c>
      <c r="H64" s="7" t="s">
        <v>32</v>
      </c>
      <c r="I64" s="11">
        <v>2.1192700195312404</v>
      </c>
      <c r="J64" s="12">
        <v>0.242869621547223</v>
      </c>
      <c r="K64" s="12">
        <v>2.17122577459441E-2</v>
      </c>
      <c r="L64" s="12">
        <v>0.85645605736227504</v>
      </c>
      <c r="M64" s="12">
        <v>6.2002762200388903E-2</v>
      </c>
      <c r="N64" s="12">
        <v>4.0632233405185798E-2</v>
      </c>
      <c r="O64" s="12">
        <v>0.40567187385136999</v>
      </c>
      <c r="P64" s="20">
        <v>1.6293448061123901</v>
      </c>
      <c r="Q64" s="12">
        <v>0.50166502638152399</v>
      </c>
      <c r="R64" s="12">
        <v>0.12814259707469999</v>
      </c>
      <c r="S64" s="12">
        <v>0.54331442580306799</v>
      </c>
      <c r="T64" s="12">
        <v>0.15783283761078901</v>
      </c>
      <c r="U64" s="12">
        <v>4.0632233405185798E-2</v>
      </c>
      <c r="V64" s="12">
        <v>0.58175221725987203</v>
      </c>
      <c r="W64" s="20">
        <v>1.95333933753514</v>
      </c>
      <c r="X64" s="12">
        <v>0.242869621547222</v>
      </c>
      <c r="Y64" s="12">
        <v>1.02046448543861</v>
      </c>
      <c r="Z64" s="12">
        <v>15.359920437180101</v>
      </c>
      <c r="AA64" s="12">
        <v>2.25934024770724</v>
      </c>
      <c r="AB64" s="12">
        <v>4.0632233405185798E-2</v>
      </c>
      <c r="AC64" s="20">
        <v>18.923227025278401</v>
      </c>
      <c r="AD64" s="13">
        <v>16.96988768774326</v>
      </c>
      <c r="AE64" s="12">
        <v>1.2342411290478346</v>
      </c>
      <c r="AF64" s="12">
        <v>0.10322443074459718</v>
      </c>
      <c r="AG64" s="19">
        <f t="shared" si="0"/>
        <v>295.72827497782566</v>
      </c>
    </row>
    <row r="65" spans="1:33" ht="15" x14ac:dyDescent="0.2">
      <c r="A65" s="16" t="s">
        <v>106</v>
      </c>
      <c r="B65" s="7" t="s">
        <v>27</v>
      </c>
      <c r="C65" s="8">
        <v>59.3</v>
      </c>
      <c r="D65" s="9">
        <v>61.734999999999999</v>
      </c>
      <c r="E65" s="10">
        <v>0.48699999999999999</v>
      </c>
      <c r="F65" s="41">
        <v>791.45556992859031</v>
      </c>
      <c r="G65" s="6" t="s">
        <v>34</v>
      </c>
      <c r="H65" s="7" t="s">
        <v>29</v>
      </c>
      <c r="I65" s="11">
        <v>2.2800900878906201</v>
      </c>
      <c r="J65" s="12">
        <v>0.133736753991931</v>
      </c>
      <c r="K65" s="12">
        <v>3.0666619467694799E-2</v>
      </c>
      <c r="L65" s="12">
        <v>0.147233753565012</v>
      </c>
      <c r="M65" s="12">
        <v>7.9442522429084603E-2</v>
      </c>
      <c r="N65" s="12">
        <v>1.82009413468322E-2</v>
      </c>
      <c r="O65" s="12">
        <v>9.1173608232841596E-2</v>
      </c>
      <c r="P65" s="20">
        <v>0.50045419903339605</v>
      </c>
      <c r="Q65" s="12">
        <v>0.46053093199610801</v>
      </c>
      <c r="R65" s="12">
        <v>5.0473764052223598E-2</v>
      </c>
      <c r="S65" s="12">
        <v>0.14144353774544899</v>
      </c>
      <c r="T65" s="12">
        <v>7.7008496746370406E-2</v>
      </c>
      <c r="U65" s="12">
        <v>1.82009413468322E-2</v>
      </c>
      <c r="V65" s="12">
        <v>0.29307966226035698</v>
      </c>
      <c r="W65" s="20">
        <v>1.04073733414734</v>
      </c>
      <c r="X65" s="12">
        <v>0.133736753991931</v>
      </c>
      <c r="Y65" s="12">
        <v>3.0666619467694799E-2</v>
      </c>
      <c r="Z65" s="12">
        <v>8.2260821990138899E-2</v>
      </c>
      <c r="AA65" s="12">
        <v>0.25095422711022702</v>
      </c>
      <c r="AB65" s="12">
        <v>1.82009413468322E-2</v>
      </c>
      <c r="AC65" s="20">
        <v>0.51581936390682304</v>
      </c>
      <c r="AD65" s="13">
        <v>-0.52491797024051701</v>
      </c>
      <c r="AE65" s="12">
        <v>0.65760249520246938</v>
      </c>
      <c r="AF65" s="12">
        <v>2.0176391329413867</v>
      </c>
      <c r="AG65" s="21" t="str">
        <f t="shared" si="0"/>
        <v/>
      </c>
    </row>
    <row r="66" spans="1:33" ht="15" x14ac:dyDescent="0.2">
      <c r="A66" s="16" t="s">
        <v>107</v>
      </c>
      <c r="B66" s="7" t="s">
        <v>56</v>
      </c>
      <c r="C66" s="8">
        <v>72.2</v>
      </c>
      <c r="D66" s="9">
        <v>73.599999999999994</v>
      </c>
      <c r="E66" s="10">
        <v>0.80500000000000005</v>
      </c>
      <c r="F66" s="41">
        <v>4407.485562674211</v>
      </c>
      <c r="G66" s="6" t="s">
        <v>28</v>
      </c>
      <c r="H66" s="7" t="s">
        <v>36</v>
      </c>
      <c r="I66" s="11">
        <v>4.0029399414062503</v>
      </c>
      <c r="J66" s="12">
        <v>0.130682026401163</v>
      </c>
      <c r="K66" s="12">
        <v>0.21048935767695501</v>
      </c>
      <c r="L66" s="12">
        <v>6.5582545055776806E-2</v>
      </c>
      <c r="M66" s="12">
        <v>0.19358458033711101</v>
      </c>
      <c r="N66" s="12">
        <v>4.7310425271705703E-2</v>
      </c>
      <c r="O66" s="12">
        <v>0.90979489433192096</v>
      </c>
      <c r="P66" s="20">
        <v>1.55744382907463</v>
      </c>
      <c r="Q66" s="12">
        <v>0.39093174390004998</v>
      </c>
      <c r="R66" s="12">
        <v>0.17673338186169801</v>
      </c>
      <c r="S66" s="12">
        <v>0.13624952460951401</v>
      </c>
      <c r="T66" s="12">
        <v>0.19431962742692599</v>
      </c>
      <c r="U66" s="12">
        <v>4.7310425271705703E-2</v>
      </c>
      <c r="V66" s="12">
        <v>1.37436387226451</v>
      </c>
      <c r="W66" s="20">
        <v>2.3199085753344</v>
      </c>
      <c r="X66" s="12">
        <v>0.130682026401163</v>
      </c>
      <c r="Y66" s="12">
        <v>0.39536067455082402</v>
      </c>
      <c r="Z66" s="12">
        <v>0.64123375565308105</v>
      </c>
      <c r="AA66" s="12">
        <v>4.9038320298507299E-2</v>
      </c>
      <c r="AB66" s="12">
        <v>4.7310425271705703E-2</v>
      </c>
      <c r="AC66" s="20">
        <v>1.2636252021752801</v>
      </c>
      <c r="AD66" s="13">
        <v>-1.0562833731591199</v>
      </c>
      <c r="AE66" s="12">
        <v>1.4658623436732856</v>
      </c>
      <c r="AF66" s="12">
        <v>1.8359150888576536</v>
      </c>
      <c r="AG66" s="19">
        <f t="shared" si="0"/>
        <v>249.00018857524589</v>
      </c>
    </row>
    <row r="67" spans="1:33" ht="15" x14ac:dyDescent="0.2">
      <c r="A67" s="16" t="s">
        <v>108</v>
      </c>
      <c r="B67" s="7" t="s">
        <v>27</v>
      </c>
      <c r="C67" s="8">
        <v>82.5</v>
      </c>
      <c r="D67" s="9">
        <v>80.892700000000005</v>
      </c>
      <c r="E67" s="10">
        <v>0.94599999999999995</v>
      </c>
      <c r="F67" s="41">
        <v>47158.2360135501</v>
      </c>
      <c r="G67" s="6" t="s">
        <v>47</v>
      </c>
      <c r="H67" s="7" t="s">
        <v>40</v>
      </c>
      <c r="I67" s="11">
        <v>83.124398437500005</v>
      </c>
      <c r="J67" s="12">
        <v>0.53244513052999798</v>
      </c>
      <c r="K67" s="12">
        <v>8.1539512471420106E-2</v>
      </c>
      <c r="L67" s="12">
        <v>0.54285906962461705</v>
      </c>
      <c r="M67" s="12">
        <v>2.6264446294242599E-2</v>
      </c>
      <c r="N67" s="12">
        <v>0.12882417012502201</v>
      </c>
      <c r="O67" s="12">
        <v>2.97048729469038</v>
      </c>
      <c r="P67" s="20">
        <v>4.28241962373568</v>
      </c>
      <c r="Q67" s="12">
        <v>0.69299481538575203</v>
      </c>
      <c r="R67" s="12">
        <v>0.18752615423511701</v>
      </c>
      <c r="S67" s="12">
        <v>0.57751529975237703</v>
      </c>
      <c r="T67" s="12">
        <v>4.3506766808271598E-2</v>
      </c>
      <c r="U67" s="12">
        <v>0.12882417012502201</v>
      </c>
      <c r="V67" s="12">
        <v>3.0419706150053099</v>
      </c>
      <c r="W67" s="20">
        <v>4.6723378213118503</v>
      </c>
      <c r="X67" s="12">
        <v>0.53244513052999798</v>
      </c>
      <c r="Y67" s="12">
        <v>8.1539512471420106E-2</v>
      </c>
      <c r="Z67" s="12">
        <v>0.678891103161953</v>
      </c>
      <c r="AA67" s="12">
        <v>7.2217659671121995E-2</v>
      </c>
      <c r="AB67" s="12">
        <v>0.12882417012502201</v>
      </c>
      <c r="AC67" s="20">
        <v>1.49391757595952</v>
      </c>
      <c r="AD67" s="13">
        <v>-3.1784202453523305</v>
      </c>
      <c r="AE67" s="12">
        <v>2.9522732671455736</v>
      </c>
      <c r="AF67" s="12">
        <v>3.1275740352079868</v>
      </c>
      <c r="AG67" s="19">
        <f t="shared" si="0"/>
        <v>123.63354167173787</v>
      </c>
    </row>
    <row r="68" spans="1:33" ht="15" x14ac:dyDescent="0.2">
      <c r="A68" s="16" t="s">
        <v>109</v>
      </c>
      <c r="B68" s="7" t="s">
        <v>27</v>
      </c>
      <c r="C68" s="8">
        <v>62.5</v>
      </c>
      <c r="D68" s="9">
        <v>63.78</v>
      </c>
      <c r="E68" s="10">
        <v>0.60599999999999998</v>
      </c>
      <c r="F68" s="41">
        <v>1808.3286818796112</v>
      </c>
      <c r="G68" s="6" t="s">
        <v>34</v>
      </c>
      <c r="H68" s="7" t="s">
        <v>36</v>
      </c>
      <c r="I68" s="11">
        <v>29.767099609374899</v>
      </c>
      <c r="J68" s="12">
        <v>0.75369114406221305</v>
      </c>
      <c r="K68" s="12">
        <v>5.9457481394605799E-2</v>
      </c>
      <c r="L68" s="12">
        <v>0.66624634344135203</v>
      </c>
      <c r="M68" s="12">
        <v>0.114841555608617</v>
      </c>
      <c r="N68" s="12">
        <v>9.4041199310711102E-2</v>
      </c>
      <c r="O68" s="12">
        <v>0.20518878975785701</v>
      </c>
      <c r="P68" s="20">
        <v>1.8934665135753601</v>
      </c>
      <c r="Q68" s="12">
        <v>0.58551363313825699</v>
      </c>
      <c r="R68" s="12">
        <v>7.5819342528154698E-2</v>
      </c>
      <c r="S68" s="12">
        <v>0.67522978571759196</v>
      </c>
      <c r="T68" s="12">
        <v>0.17823779692443001</v>
      </c>
      <c r="U68" s="12">
        <v>9.4041199310711102E-2</v>
      </c>
      <c r="V68" s="12">
        <v>0.39582277415779299</v>
      </c>
      <c r="W68" s="20">
        <v>2.0046645317769398</v>
      </c>
      <c r="X68" s="12">
        <v>0.75369114406221305</v>
      </c>
      <c r="Y68" s="12">
        <v>0.19353604197206201</v>
      </c>
      <c r="Z68" s="12">
        <v>0.207244222819569</v>
      </c>
      <c r="AA68" s="12">
        <v>5.1256032248057803E-2</v>
      </c>
      <c r="AB68" s="12">
        <v>9.4041199310711102E-2</v>
      </c>
      <c r="AC68" s="20">
        <v>1.2997686404126101</v>
      </c>
      <c r="AD68" s="13">
        <v>-0.70489589136432973</v>
      </c>
      <c r="AE68" s="12">
        <v>1.2666715749372492</v>
      </c>
      <c r="AF68" s="12">
        <v>1.5423241255771192</v>
      </c>
      <c r="AG68" s="19">
        <f t="shared" si="0"/>
        <v>288.15677814360208</v>
      </c>
    </row>
    <row r="69" spans="1:33" ht="15" x14ac:dyDescent="0.2">
      <c r="A69" s="16" t="s">
        <v>110</v>
      </c>
      <c r="B69" s="7" t="s">
        <v>27</v>
      </c>
      <c r="C69" s="8">
        <v>75.400000000000006</v>
      </c>
      <c r="D69" s="9">
        <v>81.787800000000004</v>
      </c>
      <c r="E69" s="10">
        <v>0.88100000000000001</v>
      </c>
      <c r="F69" s="41">
        <v>24044.400914621503</v>
      </c>
      <c r="G69" s="6" t="s">
        <v>47</v>
      </c>
      <c r="H69" s="7" t="s">
        <v>40</v>
      </c>
      <c r="I69" s="11">
        <v>10.522200195312399</v>
      </c>
      <c r="J69" s="12">
        <v>0.56738769779501697</v>
      </c>
      <c r="K69" s="12">
        <v>0.14985267147718201</v>
      </c>
      <c r="L69" s="12">
        <v>6.57905439211601E-2</v>
      </c>
      <c r="M69" s="12">
        <v>4.4834693861003E-2</v>
      </c>
      <c r="N69" s="12">
        <v>4.9505382176724899E-2</v>
      </c>
      <c r="O69" s="12">
        <v>2.1440932029792399</v>
      </c>
      <c r="P69" s="20">
        <v>3.0214641922103298</v>
      </c>
      <c r="Q69" s="12">
        <v>0.70293890086533894</v>
      </c>
      <c r="R69" s="12">
        <v>0.377461489081312</v>
      </c>
      <c r="S69" s="12">
        <v>0.30257296425506602</v>
      </c>
      <c r="T69" s="12">
        <v>0.101197553545938</v>
      </c>
      <c r="U69" s="12">
        <v>4.9505382176724899E-2</v>
      </c>
      <c r="V69" s="12">
        <v>2.5653790078624401</v>
      </c>
      <c r="W69" s="20">
        <v>4.09905529778682</v>
      </c>
      <c r="X69" s="12">
        <v>0.56738769779501697</v>
      </c>
      <c r="Y69" s="12">
        <v>0.14985267147718201</v>
      </c>
      <c r="Z69" s="12">
        <v>0.21935890952166601</v>
      </c>
      <c r="AA69" s="12">
        <v>0.18210847977859099</v>
      </c>
      <c r="AB69" s="12">
        <v>4.9505382176724899E-2</v>
      </c>
      <c r="AC69" s="20">
        <v>1.16821314074918</v>
      </c>
      <c r="AD69" s="13">
        <v>-2.93084215703764</v>
      </c>
      <c r="AE69" s="12">
        <v>2.5900377581879823</v>
      </c>
      <c r="AF69" s="12">
        <v>3.5088248495116896</v>
      </c>
      <c r="AG69" s="19">
        <f t="shared" si="0"/>
        <v>140.92458646446832</v>
      </c>
    </row>
    <row r="70" spans="1:33" ht="15" x14ac:dyDescent="0.2">
      <c r="A70" s="16" t="s">
        <v>111</v>
      </c>
      <c r="B70" s="7" t="s">
        <v>38</v>
      </c>
      <c r="C70" s="17"/>
      <c r="D70" s="9">
        <v>72.384</v>
      </c>
      <c r="E70" s="10">
        <v>0.77300000000000002</v>
      </c>
      <c r="F70" s="41">
        <v>9091.7327180568864</v>
      </c>
      <c r="G70" s="6" t="s">
        <v>39</v>
      </c>
      <c r="H70" s="7" t="s">
        <v>32</v>
      </c>
      <c r="I70" s="11">
        <v>0.11145400238037</v>
      </c>
      <c r="J70" s="17"/>
      <c r="K70" s="17"/>
      <c r="L70" s="17"/>
      <c r="M70" s="17"/>
      <c r="N70" s="17"/>
      <c r="O70" s="17"/>
      <c r="P70" s="20">
        <v>1.69506994341453</v>
      </c>
      <c r="Q70" s="17"/>
      <c r="R70" s="17"/>
      <c r="S70" s="17"/>
      <c r="T70" s="17"/>
      <c r="U70" s="17"/>
      <c r="V70" s="17"/>
      <c r="W70" s="20">
        <v>2.5361419822736799</v>
      </c>
      <c r="X70" s="17"/>
      <c r="Y70" s="17"/>
      <c r="Z70" s="17"/>
      <c r="AA70" s="17"/>
      <c r="AB70" s="17"/>
      <c r="AC70" s="20">
        <v>2.09815339547306</v>
      </c>
      <c r="AD70" s="13">
        <v>-0.43798858680061992</v>
      </c>
      <c r="AE70" s="12">
        <v>1.6024920419495563</v>
      </c>
      <c r="AF70" s="12">
        <v>1.2087495546062632</v>
      </c>
      <c r="AG70" s="19">
        <f t="shared" si="0"/>
        <v>227.77024187648951</v>
      </c>
    </row>
    <row r="71" spans="1:33" ht="15" x14ac:dyDescent="0.2">
      <c r="A71" s="16" t="s">
        <v>112</v>
      </c>
      <c r="B71" s="7" t="s">
        <v>38</v>
      </c>
      <c r="C71" s="17" t="s">
        <v>103</v>
      </c>
      <c r="D71" s="22" t="s">
        <v>103</v>
      </c>
      <c r="E71" s="23" t="s">
        <v>103</v>
      </c>
      <c r="F71" s="42" t="s">
        <v>103</v>
      </c>
      <c r="G71" s="6" t="s">
        <v>39</v>
      </c>
      <c r="H71" s="6"/>
      <c r="I71" s="11">
        <v>0.39984799194335796</v>
      </c>
      <c r="J71" s="17"/>
      <c r="K71" s="17"/>
      <c r="L71" s="17"/>
      <c r="M71" s="17"/>
      <c r="N71" s="17"/>
      <c r="O71" s="17"/>
      <c r="P71" s="20">
        <v>2.1144270275437602</v>
      </c>
      <c r="Q71" s="17"/>
      <c r="R71" s="17"/>
      <c r="S71" s="17"/>
      <c r="T71" s="17"/>
      <c r="U71" s="17"/>
      <c r="V71" s="17"/>
      <c r="W71" s="20">
        <v>3.6172982722063298</v>
      </c>
      <c r="X71" s="17"/>
      <c r="Y71" s="17"/>
      <c r="Z71" s="17"/>
      <c r="AA71" s="17"/>
      <c r="AB71" s="17"/>
      <c r="AC71" s="20">
        <v>0.51499500663860598</v>
      </c>
      <c r="AD71" s="13">
        <v>-3.1023032655677238</v>
      </c>
      <c r="AE71" s="12">
        <v>2.2856337441217405</v>
      </c>
      <c r="AF71" s="12">
        <v>7.0239482433365472</v>
      </c>
      <c r="AG71" s="19">
        <f t="shared" si="0"/>
        <v>159.69312709821406</v>
      </c>
    </row>
    <row r="72" spans="1:33" ht="15" x14ac:dyDescent="0.2">
      <c r="A72" s="16" t="s">
        <v>113</v>
      </c>
      <c r="B72" s="7" t="s">
        <v>27</v>
      </c>
      <c r="C72" s="8">
        <v>59.9</v>
      </c>
      <c r="D72" s="9">
        <v>74.063000000000002</v>
      </c>
      <c r="E72" s="10">
        <v>0.65700000000000003</v>
      </c>
      <c r="F72" s="41">
        <v>3164.1773169903868</v>
      </c>
      <c r="G72" s="6" t="s">
        <v>39</v>
      </c>
      <c r="H72" s="7" t="s">
        <v>36</v>
      </c>
      <c r="I72" s="11">
        <v>17.2478007812499</v>
      </c>
      <c r="J72" s="12">
        <v>0.41423462194160499</v>
      </c>
      <c r="K72" s="12">
        <v>0.139119143408031</v>
      </c>
      <c r="L72" s="12">
        <v>0.48345984004646603</v>
      </c>
      <c r="M72" s="12">
        <v>2.1751149374883299E-2</v>
      </c>
      <c r="N72" s="12">
        <v>8.5763177281623207E-2</v>
      </c>
      <c r="O72" s="12">
        <v>0.35855801125091402</v>
      </c>
      <c r="P72" s="20">
        <v>1.50288594330352</v>
      </c>
      <c r="Q72" s="12">
        <v>0.41351532500087201</v>
      </c>
      <c r="R72" s="12">
        <v>0.16035289468344499</v>
      </c>
      <c r="S72" s="12">
        <v>0.57021314246060195</v>
      </c>
      <c r="T72" s="12">
        <v>2.6855815455544E-2</v>
      </c>
      <c r="U72" s="12">
        <v>8.5763177281623207E-2</v>
      </c>
      <c r="V72" s="12">
        <v>0.56313201426949</v>
      </c>
      <c r="W72" s="20">
        <v>1.8198323691515801</v>
      </c>
      <c r="X72" s="12">
        <v>0.41423462194160499</v>
      </c>
      <c r="Y72" s="12">
        <v>0.139119143408031</v>
      </c>
      <c r="Z72" s="12">
        <v>0.28452530468391302</v>
      </c>
      <c r="AA72" s="12">
        <v>4.0878379062853298E-2</v>
      </c>
      <c r="AB72" s="12">
        <v>8.5763177281623207E-2</v>
      </c>
      <c r="AC72" s="20">
        <v>0.96452062637802605</v>
      </c>
      <c r="AD72" s="13">
        <v>-0.85531174277355404</v>
      </c>
      <c r="AE72" s="12">
        <v>1.1498831333698234</v>
      </c>
      <c r="AF72" s="12">
        <v>1.8867739262201433</v>
      </c>
      <c r="AG72" s="19">
        <f t="shared" si="0"/>
        <v>317.42356193219274</v>
      </c>
    </row>
    <row r="73" spans="1:33" ht="15" x14ac:dyDescent="0.2">
      <c r="A73" s="16" t="s">
        <v>114</v>
      </c>
      <c r="B73" s="7" t="s">
        <v>27</v>
      </c>
      <c r="C73" s="8">
        <v>51</v>
      </c>
      <c r="D73" s="9">
        <v>61.185000000000002</v>
      </c>
      <c r="E73" s="10">
        <v>0.47299999999999998</v>
      </c>
      <c r="F73" s="41">
        <v>897.11865954734287</v>
      </c>
      <c r="G73" s="6" t="s">
        <v>34</v>
      </c>
      <c r="H73" s="7" t="s">
        <v>29</v>
      </c>
      <c r="I73" s="11">
        <v>12.414299804687399</v>
      </c>
      <c r="J73" s="12">
        <v>0.46408924430880699</v>
      </c>
      <c r="K73" s="12">
        <v>0.48327991974727302</v>
      </c>
      <c r="L73" s="12">
        <v>0.41129667827578198</v>
      </c>
      <c r="M73" s="12">
        <v>8.6963870711462596E-2</v>
      </c>
      <c r="N73" s="12">
        <v>5.9793990025290199E-2</v>
      </c>
      <c r="O73" s="12">
        <v>7.5352625908382501E-2</v>
      </c>
      <c r="P73" s="20">
        <v>1.580776328977</v>
      </c>
      <c r="Q73" s="12">
        <v>0.61664140523366695</v>
      </c>
      <c r="R73" s="12">
        <v>0.49229394382144798</v>
      </c>
      <c r="S73" s="12">
        <v>0.41238915061886899</v>
      </c>
      <c r="T73" s="12">
        <v>8.5629984325234207E-2</v>
      </c>
      <c r="U73" s="12">
        <v>5.9793990025290199E-2</v>
      </c>
      <c r="V73" s="12">
        <v>0.17726744133810801</v>
      </c>
      <c r="W73" s="20">
        <v>1.8440159153626201</v>
      </c>
      <c r="X73" s="12">
        <v>0.46408924430880699</v>
      </c>
      <c r="Y73" s="12">
        <v>0.69466027563209098</v>
      </c>
      <c r="Z73" s="12">
        <v>0.55830302286429201</v>
      </c>
      <c r="AA73" s="12">
        <v>0.28139793995986601</v>
      </c>
      <c r="AB73" s="12">
        <v>5.9793990025290199E-2</v>
      </c>
      <c r="AC73" s="20">
        <v>2.0582444727903502</v>
      </c>
      <c r="AD73" s="13">
        <v>0.21422855742773006</v>
      </c>
      <c r="AE73" s="12">
        <v>1.1651638000754658</v>
      </c>
      <c r="AF73" s="12">
        <v>0.89591685523279863</v>
      </c>
      <c r="AG73" s="19">
        <f t="shared" si="0"/>
        <v>313.26067628977103</v>
      </c>
    </row>
    <row r="74" spans="1:33" ht="15" x14ac:dyDescent="0.2">
      <c r="A74" s="16" t="s">
        <v>115</v>
      </c>
      <c r="B74" s="7" t="s">
        <v>27</v>
      </c>
      <c r="C74" s="17"/>
      <c r="D74" s="9">
        <v>58.003</v>
      </c>
      <c r="E74" s="10">
        <v>0.47199999999999998</v>
      </c>
      <c r="F74" s="41">
        <v>622.69112180289017</v>
      </c>
      <c r="G74" s="6" t="s">
        <v>34</v>
      </c>
      <c r="H74" s="7" t="s">
        <v>29</v>
      </c>
      <c r="I74" s="11">
        <v>1.8743000488281298</v>
      </c>
      <c r="J74" s="12">
        <v>0.61343332956104701</v>
      </c>
      <c r="K74" s="12">
        <v>7.7655434430239895E-2</v>
      </c>
      <c r="L74" s="12">
        <v>0.63112053995562301</v>
      </c>
      <c r="M74" s="12">
        <v>1.2787845548297899E-2</v>
      </c>
      <c r="N74" s="12">
        <v>8.8748859403989799E-2</v>
      </c>
      <c r="O74" s="12">
        <v>5.9346283811648699E-2</v>
      </c>
      <c r="P74" s="20">
        <v>1.4830922927108501</v>
      </c>
      <c r="Q74" s="12">
        <v>0.56837024574079598</v>
      </c>
      <c r="R74" s="12">
        <v>7.9981126446603198E-2</v>
      </c>
      <c r="S74" s="12">
        <v>0.62777039829049297</v>
      </c>
      <c r="T74" s="12">
        <v>3.1396359427372498E-3</v>
      </c>
      <c r="U74" s="12">
        <v>8.8748859403989799E-2</v>
      </c>
      <c r="V74" s="12">
        <v>9.9031673929682998E-2</v>
      </c>
      <c r="W74" s="20">
        <v>1.4670419397543</v>
      </c>
      <c r="X74" s="12">
        <v>0.61343332956104701</v>
      </c>
      <c r="Y74" s="12">
        <v>7.7655434430239895E-2</v>
      </c>
      <c r="Z74" s="12">
        <v>0.29447536795927898</v>
      </c>
      <c r="AA74" s="12">
        <v>1.59154483713449</v>
      </c>
      <c r="AB74" s="12">
        <v>8.8748859403989799E-2</v>
      </c>
      <c r="AC74" s="20">
        <v>2.6658578284890502</v>
      </c>
      <c r="AD74" s="13">
        <v>1.1988158887347502</v>
      </c>
      <c r="AE74" s="12">
        <v>0.92696822579108018</v>
      </c>
      <c r="AF74" s="12">
        <v>0.55030764359470252</v>
      </c>
      <c r="AG74" s="21" t="str">
        <f t="shared" si="0"/>
        <v/>
      </c>
    </row>
    <row r="75" spans="1:33" ht="15" x14ac:dyDescent="0.2">
      <c r="A75" s="16" t="s">
        <v>116</v>
      </c>
      <c r="B75" s="7" t="s">
        <v>27</v>
      </c>
      <c r="C75" s="8">
        <v>57.9</v>
      </c>
      <c r="D75" s="9">
        <v>69.774000000000001</v>
      </c>
      <c r="E75" s="10">
        <v>0.68</v>
      </c>
      <c r="F75" s="41">
        <v>5825.0258766704465</v>
      </c>
      <c r="G75" s="6" t="s">
        <v>42</v>
      </c>
      <c r="H75" s="7" t="s">
        <v>36</v>
      </c>
      <c r="I75" s="11">
        <v>0.77900598144531208</v>
      </c>
      <c r="J75" s="12">
        <v>1.00783811923202</v>
      </c>
      <c r="K75" s="12">
        <v>5.6442320758971001E-2</v>
      </c>
      <c r="L75" s="12">
        <v>0.67780870779648605</v>
      </c>
      <c r="M75" s="12">
        <v>6.9398824122472696E-2</v>
      </c>
      <c r="N75" s="12">
        <v>8.7245545088841303E-2</v>
      </c>
      <c r="O75" s="12">
        <v>1.0625671759734301</v>
      </c>
      <c r="P75" s="20">
        <v>2.9613006929722201</v>
      </c>
      <c r="Q75" s="12">
        <v>0.88431339526974195</v>
      </c>
      <c r="R75" s="12">
        <v>9.0071590930099504E-2</v>
      </c>
      <c r="S75" s="12">
        <v>0.57720986565661403</v>
      </c>
      <c r="T75" s="12">
        <v>3.9144364228144699E-2</v>
      </c>
      <c r="U75" s="12">
        <v>8.7245545088841303E-2</v>
      </c>
      <c r="V75" s="12">
        <v>1.7291918207510999</v>
      </c>
      <c r="W75" s="20">
        <v>3.4071765819245399</v>
      </c>
      <c r="X75" s="12">
        <v>1.00783811923202</v>
      </c>
      <c r="Y75" s="12">
        <v>0.977860852204674</v>
      </c>
      <c r="Z75" s="12">
        <v>65.404382318878902</v>
      </c>
      <c r="AA75" s="12">
        <v>5.2258927078488702</v>
      </c>
      <c r="AB75" s="12">
        <v>8.7245545088841303E-2</v>
      </c>
      <c r="AC75" s="20">
        <v>72.703219543253297</v>
      </c>
      <c r="AD75" s="13">
        <v>69.296042961328752</v>
      </c>
      <c r="AE75" s="12">
        <v>2.1528658080712177</v>
      </c>
      <c r="AF75" s="12">
        <v>4.6864177450869418E-2</v>
      </c>
      <c r="AG75" s="19">
        <f t="shared" si="0"/>
        <v>169.541454293897</v>
      </c>
    </row>
    <row r="76" spans="1:33" ht="15" x14ac:dyDescent="0.2">
      <c r="A76" s="16" t="s">
        <v>117</v>
      </c>
      <c r="B76" s="7" t="s">
        <v>27</v>
      </c>
      <c r="C76" s="8">
        <v>51.4</v>
      </c>
      <c r="D76" s="9">
        <v>63.66</v>
      </c>
      <c r="E76" s="10">
        <v>0.50800000000000001</v>
      </c>
      <c r="F76" s="41">
        <v>1282.2389015357851</v>
      </c>
      <c r="G76" s="6" t="s">
        <v>39</v>
      </c>
      <c r="H76" s="7" t="s">
        <v>29</v>
      </c>
      <c r="I76" s="11">
        <v>11.1232001953124</v>
      </c>
      <c r="J76" s="12">
        <v>0.15463954408518801</v>
      </c>
      <c r="K76" s="12">
        <v>2.96672813779617E-2</v>
      </c>
      <c r="L76" s="12">
        <v>8.6762148339094403E-2</v>
      </c>
      <c r="M76" s="12">
        <v>2.4067142329420401E-3</v>
      </c>
      <c r="N76" s="12">
        <v>2.4839004734457399E-2</v>
      </c>
      <c r="O76" s="12">
        <v>0.10494304154091801</v>
      </c>
      <c r="P76" s="20">
        <v>0.403257734310562</v>
      </c>
      <c r="Q76" s="12">
        <v>0.32567400966798699</v>
      </c>
      <c r="R76" s="12">
        <v>3.9874575114293098E-2</v>
      </c>
      <c r="S76" s="12">
        <v>9.8211048851671395E-2</v>
      </c>
      <c r="T76" s="12">
        <v>1.9751562092703501E-2</v>
      </c>
      <c r="U76" s="12">
        <v>2.4839004734457399E-2</v>
      </c>
      <c r="V76" s="12">
        <v>0.12898773949048101</v>
      </c>
      <c r="W76" s="20">
        <v>0.63733793995159405</v>
      </c>
      <c r="X76" s="12">
        <v>0.15463954408518801</v>
      </c>
      <c r="Y76" s="12">
        <v>2.96672813779617E-2</v>
      </c>
      <c r="Z76" s="12">
        <v>2.64241453739337E-2</v>
      </c>
      <c r="AA76" s="12">
        <v>1.0995747739111999E-2</v>
      </c>
      <c r="AB76" s="12">
        <v>2.4839004734457399E-2</v>
      </c>
      <c r="AC76" s="20">
        <v>0.24656572331065299</v>
      </c>
      <c r="AD76" s="13">
        <v>-0.39077221664094108</v>
      </c>
      <c r="AE76" s="12">
        <v>0.40270969998663902</v>
      </c>
      <c r="AF76" s="12">
        <v>2.5848602611669564</v>
      </c>
      <c r="AG76" s="21" t="str">
        <f t="shared" si="0"/>
        <v/>
      </c>
    </row>
    <row r="77" spans="1:33" ht="15" x14ac:dyDescent="0.2">
      <c r="A77" s="16" t="s">
        <v>118</v>
      </c>
      <c r="B77" s="7" t="s">
        <v>38</v>
      </c>
      <c r="C77" s="8">
        <v>62.8</v>
      </c>
      <c r="D77" s="9">
        <v>75.087999999999994</v>
      </c>
      <c r="E77" s="10">
        <v>0.63300000000000001</v>
      </c>
      <c r="F77" s="41">
        <v>2219.4374604028289</v>
      </c>
      <c r="G77" s="6" t="s">
        <v>39</v>
      </c>
      <c r="H77" s="7" t="s">
        <v>36</v>
      </c>
      <c r="I77" s="11">
        <v>9.5875195312499901</v>
      </c>
      <c r="J77" s="17"/>
      <c r="K77" s="17"/>
      <c r="L77" s="17"/>
      <c r="M77" s="17"/>
      <c r="N77" s="17"/>
      <c r="O77" s="17"/>
      <c r="P77" s="20">
        <v>1.37107324839205</v>
      </c>
      <c r="Q77" s="17"/>
      <c r="R77" s="17"/>
      <c r="S77" s="17"/>
      <c r="T77" s="17"/>
      <c r="U77" s="17"/>
      <c r="V77" s="17"/>
      <c r="W77" s="20">
        <v>1.5745547056118601</v>
      </c>
      <c r="X77" s="17"/>
      <c r="Y77" s="17"/>
      <c r="Z77" s="17"/>
      <c r="AA77" s="17"/>
      <c r="AB77" s="17"/>
      <c r="AC77" s="20">
        <v>1.7368157703893701</v>
      </c>
      <c r="AD77" s="13">
        <v>0.16226106477751001</v>
      </c>
      <c r="AE77" s="12">
        <v>0.99490146963110671</v>
      </c>
      <c r="AF77" s="12">
        <v>0.90657554615528779</v>
      </c>
      <c r="AG77" s="21" t="str">
        <f t="shared" si="0"/>
        <v/>
      </c>
    </row>
    <row r="78" spans="1:33" ht="15" x14ac:dyDescent="0.2">
      <c r="A78" s="16" t="s">
        <v>119</v>
      </c>
      <c r="B78" s="7" t="s">
        <v>56</v>
      </c>
      <c r="C78" s="8">
        <v>78.8</v>
      </c>
      <c r="D78" s="9">
        <v>76.065899999999999</v>
      </c>
      <c r="E78" s="10">
        <v>0.85</v>
      </c>
      <c r="F78" s="41">
        <v>16894.154004635591</v>
      </c>
      <c r="G78" s="6" t="s">
        <v>47</v>
      </c>
      <c r="H78" s="7" t="s">
        <v>40</v>
      </c>
      <c r="I78" s="11">
        <v>9.7074999999999996</v>
      </c>
      <c r="J78" s="12">
        <v>1.5798867827475001</v>
      </c>
      <c r="K78" s="12">
        <v>2.3080707832001401E-2</v>
      </c>
      <c r="L78" s="12">
        <v>0.32666169586691901</v>
      </c>
      <c r="M78" s="12">
        <v>2.1345336968048899E-3</v>
      </c>
      <c r="N78" s="12">
        <v>0.17894917632412399</v>
      </c>
      <c r="O78" s="12">
        <v>1.7420006750402901</v>
      </c>
      <c r="P78" s="20">
        <v>3.8527135715076302</v>
      </c>
      <c r="Q78" s="12">
        <v>0.74127426378932204</v>
      </c>
      <c r="R78" s="12">
        <v>7.6748427718375603E-2</v>
      </c>
      <c r="S78" s="12">
        <v>0.43970305427242801</v>
      </c>
      <c r="T78" s="12">
        <v>2.5270341971248701E-2</v>
      </c>
      <c r="U78" s="12">
        <v>0.17894917632412399</v>
      </c>
      <c r="V78" s="12">
        <v>2.4039244854294899</v>
      </c>
      <c r="W78" s="20">
        <v>3.8658697495049901</v>
      </c>
      <c r="X78" s="12">
        <v>1.5798867827475001</v>
      </c>
      <c r="Y78" s="12">
        <v>8.3131068031119706E-2</v>
      </c>
      <c r="Z78" s="12">
        <v>0.72300828723112198</v>
      </c>
      <c r="AA78" s="12">
        <v>6.6684034910316804E-3</v>
      </c>
      <c r="AB78" s="12">
        <v>0.17894917632412399</v>
      </c>
      <c r="AC78" s="20">
        <v>2.5716437178248999</v>
      </c>
      <c r="AD78" s="13">
        <v>-1.2942260316800902</v>
      </c>
      <c r="AE78" s="12">
        <v>2.4426966439952076</v>
      </c>
      <c r="AF78" s="12">
        <v>1.5032680159811362</v>
      </c>
      <c r="AG78" s="19">
        <f t="shared" si="0"/>
        <v>149.42502209485008</v>
      </c>
    </row>
    <row r="79" spans="1:33" ht="15" x14ac:dyDescent="0.2">
      <c r="A79" s="16" t="s">
        <v>120</v>
      </c>
      <c r="B79" s="7" t="s">
        <v>27</v>
      </c>
      <c r="C79" s="8">
        <v>60.1</v>
      </c>
      <c r="D79" s="9">
        <v>69.415999999999997</v>
      </c>
      <c r="E79" s="10">
        <v>0.64200000000000002</v>
      </c>
      <c r="F79" s="41">
        <v>2084.8119233498937</v>
      </c>
      <c r="G79" s="6" t="s">
        <v>45</v>
      </c>
      <c r="H79" s="7" t="s">
        <v>36</v>
      </c>
      <c r="I79" s="11">
        <v>1352.64</v>
      </c>
      <c r="J79" s="12">
        <v>0.34379255533955899</v>
      </c>
      <c r="K79" s="12">
        <v>3.0921407969549501E-3</v>
      </c>
      <c r="L79" s="12">
        <v>0.109982927121694</v>
      </c>
      <c r="M79" s="12">
        <v>2.2006908763284101E-2</v>
      </c>
      <c r="N79" s="12">
        <v>5.1241155321325303E-2</v>
      </c>
      <c r="O79" s="12">
        <v>0.62808626597136197</v>
      </c>
      <c r="P79" s="20">
        <v>1.1582019533141801</v>
      </c>
      <c r="Q79" s="12">
        <v>0.33969620187396898</v>
      </c>
      <c r="R79" s="12">
        <v>7.4187472794278904E-3</v>
      </c>
      <c r="S79" s="12">
        <v>0.118340277938022</v>
      </c>
      <c r="T79" s="12">
        <v>1.6353390742449101E-2</v>
      </c>
      <c r="U79" s="12">
        <v>5.1241155321325303E-2</v>
      </c>
      <c r="V79" s="12">
        <v>0.67650672823207003</v>
      </c>
      <c r="W79" s="20">
        <v>1.20955650138726</v>
      </c>
      <c r="X79" s="12">
        <v>0.34379255533955899</v>
      </c>
      <c r="Y79" s="12">
        <v>3.0921407969549501E-3</v>
      </c>
      <c r="Z79" s="12">
        <v>2.04907441819644E-2</v>
      </c>
      <c r="AA79" s="12">
        <v>2.69517095951671E-2</v>
      </c>
      <c r="AB79" s="12">
        <v>5.1241155321325303E-2</v>
      </c>
      <c r="AC79" s="20">
        <v>0.44556830523497098</v>
      </c>
      <c r="AD79" s="13">
        <v>-0.76398819615228897</v>
      </c>
      <c r="AE79" s="12">
        <v>0.76427293160602927</v>
      </c>
      <c r="AF79" s="12">
        <v>2.7146376597621749</v>
      </c>
      <c r="AG79" s="21" t="str">
        <f t="shared" si="0"/>
        <v/>
      </c>
    </row>
    <row r="80" spans="1:33" ht="15" x14ac:dyDescent="0.2">
      <c r="A80" s="16" t="s">
        <v>121</v>
      </c>
      <c r="B80" s="7" t="s">
        <v>27</v>
      </c>
      <c r="C80" s="8">
        <v>66.3</v>
      </c>
      <c r="D80" s="9">
        <v>71.509</v>
      </c>
      <c r="E80" s="10">
        <v>0.71199999999999997</v>
      </c>
      <c r="F80" s="41">
        <v>4296.3189886091668</v>
      </c>
      <c r="G80" s="6" t="s">
        <v>45</v>
      </c>
      <c r="H80" s="7" t="s">
        <v>36</v>
      </c>
      <c r="I80" s="11">
        <v>267.67099999999897</v>
      </c>
      <c r="J80" s="12">
        <v>0.51243076762505402</v>
      </c>
      <c r="K80" s="12">
        <v>1.7072879783566901E-2</v>
      </c>
      <c r="L80" s="12">
        <v>0.26900207892269901</v>
      </c>
      <c r="M80" s="12">
        <v>0.26117436824232698</v>
      </c>
      <c r="N80" s="12">
        <v>6.1119005526988297E-2</v>
      </c>
      <c r="O80" s="12">
        <v>0.73691040360362703</v>
      </c>
      <c r="P80" s="20">
        <v>1.8577095037042599</v>
      </c>
      <c r="Q80" s="12">
        <v>0.498682410337211</v>
      </c>
      <c r="R80" s="12">
        <v>4.27266739927918E-2</v>
      </c>
      <c r="S80" s="12">
        <v>0.18264473535786399</v>
      </c>
      <c r="T80" s="12">
        <v>0.229114552070218</v>
      </c>
      <c r="U80" s="12">
        <v>6.1119005526988297E-2</v>
      </c>
      <c r="V80" s="12">
        <v>0.70289367358069299</v>
      </c>
      <c r="W80" s="20">
        <v>1.7171810508657701</v>
      </c>
      <c r="X80" s="12">
        <v>0.51243076762505402</v>
      </c>
      <c r="Y80" s="12">
        <v>5.21330967887828E-2</v>
      </c>
      <c r="Z80" s="12">
        <v>0.26988473501079602</v>
      </c>
      <c r="AA80" s="12">
        <v>0.344678093699608</v>
      </c>
      <c r="AB80" s="12">
        <v>6.1119005526988297E-2</v>
      </c>
      <c r="AC80" s="20">
        <v>1.24024569865123</v>
      </c>
      <c r="AD80" s="13">
        <v>-0.47693535221454009</v>
      </c>
      <c r="AE80" s="12">
        <v>1.0850216540842013</v>
      </c>
      <c r="AF80" s="12">
        <v>1.3845490879212146</v>
      </c>
      <c r="AG80" s="19">
        <f t="shared" si="0"/>
        <v>336.39881621355624</v>
      </c>
    </row>
    <row r="81" spans="1:33" ht="15" x14ac:dyDescent="0.2">
      <c r="A81" s="16" t="s">
        <v>122</v>
      </c>
      <c r="B81" s="7" t="s">
        <v>56</v>
      </c>
      <c r="C81" s="8">
        <v>70</v>
      </c>
      <c r="D81" s="9">
        <v>76.478999999999999</v>
      </c>
      <c r="E81" s="10">
        <v>0.78500000000000003</v>
      </c>
      <c r="F81" s="41">
        <v>6442.5267892633974</v>
      </c>
      <c r="G81" s="6" t="s">
        <v>28</v>
      </c>
      <c r="H81" s="7" t="s">
        <v>32</v>
      </c>
      <c r="I81" s="11">
        <v>81.800203124999996</v>
      </c>
      <c r="J81" s="12">
        <v>0.34772661482825301</v>
      </c>
      <c r="K81" s="12">
        <v>6.6210400948504694E-2</v>
      </c>
      <c r="L81" s="12">
        <v>3.66748433000597E-3</v>
      </c>
      <c r="M81" s="12">
        <v>0.185180459043809</v>
      </c>
      <c r="N81" s="12">
        <v>7.2262640946070406E-2</v>
      </c>
      <c r="O81" s="12">
        <v>2.6364584206781498</v>
      </c>
      <c r="P81" s="20">
        <v>3.3115060207748002</v>
      </c>
      <c r="Q81" s="12">
        <v>0.56112941661886495</v>
      </c>
      <c r="R81" s="12">
        <v>9.5990400420590705E-2</v>
      </c>
      <c r="S81" s="12">
        <v>4.8219969603906503E-2</v>
      </c>
      <c r="T81" s="12">
        <v>0.16209370681624499</v>
      </c>
      <c r="U81" s="12">
        <v>7.2262640946070406E-2</v>
      </c>
      <c r="V81" s="12">
        <v>2.31882858089438</v>
      </c>
      <c r="W81" s="20">
        <v>3.2585247153000498</v>
      </c>
      <c r="X81" s="12">
        <v>0.34772661482825301</v>
      </c>
      <c r="Y81" s="12">
        <v>6.6210400948504694E-2</v>
      </c>
      <c r="Z81" s="12">
        <v>5.7621337405400298E-2</v>
      </c>
      <c r="AA81" s="12">
        <v>0.18134704419310699</v>
      </c>
      <c r="AB81" s="12">
        <v>7.2262640946070406E-2</v>
      </c>
      <c r="AC81" s="20">
        <v>0.72516803832133603</v>
      </c>
      <c r="AD81" s="13">
        <v>-2.5333566769787139</v>
      </c>
      <c r="AE81" s="12">
        <v>2.058938324928838</v>
      </c>
      <c r="AF81" s="12">
        <v>4.4934753644728813</v>
      </c>
      <c r="AG81" s="19">
        <f t="shared" si="0"/>
        <v>177.27582977145045</v>
      </c>
    </row>
    <row r="82" spans="1:33" ht="15" x14ac:dyDescent="0.2">
      <c r="A82" s="16" t="s">
        <v>123</v>
      </c>
      <c r="B82" s="7" t="s">
        <v>56</v>
      </c>
      <c r="C82" s="8">
        <v>63.8</v>
      </c>
      <c r="D82" s="9">
        <v>70.453999999999994</v>
      </c>
      <c r="E82" s="10">
        <v>0.67100000000000004</v>
      </c>
      <c r="F82" s="41">
        <v>5463.9688049662082</v>
      </c>
      <c r="G82" s="6" t="s">
        <v>28</v>
      </c>
      <c r="H82" s="7" t="s">
        <v>36</v>
      </c>
      <c r="I82" s="11">
        <v>38.433601562499902</v>
      </c>
      <c r="J82" s="12">
        <v>7.9560779443570304E-2</v>
      </c>
      <c r="K82" s="12">
        <v>1.6075147261666801E-2</v>
      </c>
      <c r="L82" s="12">
        <v>2.2232452601151399E-3</v>
      </c>
      <c r="M82" s="12">
        <v>1.5458770011170799E-3</v>
      </c>
      <c r="N82" s="12">
        <v>1.89125821639658E-2</v>
      </c>
      <c r="O82" s="12">
        <v>1.1696605707655401</v>
      </c>
      <c r="P82" s="20">
        <v>1.28797820189598</v>
      </c>
      <c r="Q82" s="12">
        <v>0.37779388383900298</v>
      </c>
      <c r="R82" s="12">
        <v>4.9171863834994903E-2</v>
      </c>
      <c r="S82" s="12">
        <v>2.4288152750360802E-2</v>
      </c>
      <c r="T82" s="12">
        <v>1.02363239468494E-2</v>
      </c>
      <c r="U82" s="12">
        <v>1.89125821639658E-2</v>
      </c>
      <c r="V82" s="12">
        <v>1.2839282406361101</v>
      </c>
      <c r="W82" s="20">
        <v>1.7643310471712801</v>
      </c>
      <c r="X82" s="12">
        <v>7.9560779443570304E-2</v>
      </c>
      <c r="Y82" s="12">
        <v>1.6075147261666801E-2</v>
      </c>
      <c r="Z82" s="12">
        <v>3.9578160146324003E-2</v>
      </c>
      <c r="AA82" s="12">
        <v>2.0482757754881099E-3</v>
      </c>
      <c r="AB82" s="12">
        <v>1.89125821639658E-2</v>
      </c>
      <c r="AC82" s="20">
        <v>0.15617494479101501</v>
      </c>
      <c r="AD82" s="13">
        <v>-1.6081561023802651</v>
      </c>
      <c r="AE82" s="12">
        <v>1.1148139505666688</v>
      </c>
      <c r="AF82" s="12">
        <v>11.297145323356533</v>
      </c>
      <c r="AG82" s="19">
        <f t="shared" si="0"/>
        <v>327.40889169396166</v>
      </c>
    </row>
    <row r="83" spans="1:33" ht="15" x14ac:dyDescent="0.2">
      <c r="A83" s="16" t="s">
        <v>124</v>
      </c>
      <c r="B83" s="7" t="s">
        <v>56</v>
      </c>
      <c r="C83" s="8">
        <v>81</v>
      </c>
      <c r="D83" s="9">
        <v>82.256100000000004</v>
      </c>
      <c r="E83" s="10">
        <v>0.95099999999999996</v>
      </c>
      <c r="F83" s="41">
        <v>77406.931040503361</v>
      </c>
      <c r="G83" s="6" t="s">
        <v>47</v>
      </c>
      <c r="H83" s="7" t="s">
        <v>40</v>
      </c>
      <c r="I83" s="11">
        <v>4.8186899414062401</v>
      </c>
      <c r="J83" s="12">
        <v>0.38875788098179698</v>
      </c>
      <c r="K83" s="12">
        <v>0.73052313737487296</v>
      </c>
      <c r="L83" s="12">
        <v>0.49603779189707398</v>
      </c>
      <c r="M83" s="12">
        <v>0.38409058603077501</v>
      </c>
      <c r="N83" s="12">
        <v>7.70595046519892E-2</v>
      </c>
      <c r="O83" s="12">
        <v>2.65830882404985</v>
      </c>
      <c r="P83" s="20">
        <v>4.7347777249863601</v>
      </c>
      <c r="Q83" s="12">
        <v>0.93929917301588495</v>
      </c>
      <c r="R83" s="12">
        <v>0.32440116010765502</v>
      </c>
      <c r="S83" s="12">
        <v>0.59440819793989497</v>
      </c>
      <c r="T83" s="12">
        <v>0.149722130461269</v>
      </c>
      <c r="U83" s="12">
        <v>7.70595046519892E-2</v>
      </c>
      <c r="V83" s="12">
        <v>3.1660115124822301</v>
      </c>
      <c r="W83" s="20">
        <v>5.25090167865892</v>
      </c>
      <c r="X83" s="12">
        <v>0.38875788098179698</v>
      </c>
      <c r="Y83" s="12">
        <v>0.73052313737487296</v>
      </c>
      <c r="Z83" s="12">
        <v>0.457542213970211</v>
      </c>
      <c r="AA83" s="12">
        <v>1.4188806125581099</v>
      </c>
      <c r="AB83" s="12">
        <v>7.70595046519892E-2</v>
      </c>
      <c r="AC83" s="20">
        <v>3.0727633495369799</v>
      </c>
      <c r="AD83" s="13">
        <v>-2.1781383291219401</v>
      </c>
      <c r="AE83" s="12">
        <v>3.3178458508725788</v>
      </c>
      <c r="AF83" s="12">
        <v>1.7088532637731941</v>
      </c>
      <c r="AG83" s="19">
        <f t="shared" si="0"/>
        <v>110.01113867421135</v>
      </c>
    </row>
    <row r="84" spans="1:33" ht="15" x14ac:dyDescent="0.2">
      <c r="A84" s="16" t="s">
        <v>125</v>
      </c>
      <c r="B84" s="7" t="s">
        <v>27</v>
      </c>
      <c r="C84" s="8">
        <v>75</v>
      </c>
      <c r="D84" s="9">
        <v>82.802400000000006</v>
      </c>
      <c r="E84" s="10">
        <v>0.91600000000000004</v>
      </c>
      <c r="F84" s="41">
        <v>36866.823354394364</v>
      </c>
      <c r="G84" s="6" t="s">
        <v>28</v>
      </c>
      <c r="H84" s="7" t="s">
        <v>40</v>
      </c>
      <c r="I84" s="11">
        <v>8.3815195312499995</v>
      </c>
      <c r="J84" s="12">
        <v>0.102443191656472</v>
      </c>
      <c r="K84" s="12">
        <v>6.0769443608236903E-3</v>
      </c>
      <c r="L84" s="12">
        <v>2.1599002693375399E-3</v>
      </c>
      <c r="M84" s="12">
        <v>1.07674123733061E-3</v>
      </c>
      <c r="N84" s="12">
        <v>3.4360968992934803E-2</v>
      </c>
      <c r="O84" s="12">
        <v>2.5530738724995499</v>
      </c>
      <c r="P84" s="20">
        <v>2.69919161901645</v>
      </c>
      <c r="Q84" s="12">
        <v>0.72038694872125997</v>
      </c>
      <c r="R84" s="12">
        <v>0.32388225112054497</v>
      </c>
      <c r="S84" s="12">
        <v>0.29862328517061398</v>
      </c>
      <c r="T84" s="12">
        <v>8.1221658261021901E-2</v>
      </c>
      <c r="U84" s="12">
        <v>3.4360968992934803E-2</v>
      </c>
      <c r="V84" s="12">
        <v>3.2009434452192198</v>
      </c>
      <c r="W84" s="20">
        <v>4.6594185574855898</v>
      </c>
      <c r="X84" s="12">
        <v>0.102443191656472</v>
      </c>
      <c r="Y84" s="12">
        <v>6.0769443608236903E-3</v>
      </c>
      <c r="Z84" s="12">
        <v>2.5675394785071502E-2</v>
      </c>
      <c r="AA84" s="12">
        <v>1.4640234032180999E-2</v>
      </c>
      <c r="AB84" s="12">
        <v>3.4360968992934803E-2</v>
      </c>
      <c r="AC84" s="20">
        <v>0.183196733827483</v>
      </c>
      <c r="AD84" s="13">
        <v>-4.4762218236581068</v>
      </c>
      <c r="AE84" s="12">
        <v>2.9441100737541417</v>
      </c>
      <c r="AF84" s="12">
        <v>25.433960858021521</v>
      </c>
      <c r="AG84" s="19">
        <f t="shared" si="0"/>
        <v>123.9763428867234</v>
      </c>
    </row>
    <row r="85" spans="1:33" ht="15" x14ac:dyDescent="0.2">
      <c r="A85" s="16" t="s">
        <v>126</v>
      </c>
      <c r="B85" s="7" t="s">
        <v>27</v>
      </c>
      <c r="C85" s="8">
        <v>78.8</v>
      </c>
      <c r="D85" s="9">
        <v>83.346299999999999</v>
      </c>
      <c r="E85" s="10">
        <v>0.89</v>
      </c>
      <c r="F85" s="41">
        <v>35277.497986728042</v>
      </c>
      <c r="G85" s="6" t="s">
        <v>47</v>
      </c>
      <c r="H85" s="7" t="s">
        <v>40</v>
      </c>
      <c r="I85" s="11">
        <v>60.661898437499801</v>
      </c>
      <c r="J85" s="12">
        <v>0.37369320673218298</v>
      </c>
      <c r="K85" s="12">
        <v>3.3288417610578797E-2</v>
      </c>
      <c r="L85" s="12">
        <v>9.2635440046349299E-2</v>
      </c>
      <c r="M85" s="12">
        <v>2.2668577119423401E-2</v>
      </c>
      <c r="N85" s="12">
        <v>4.1642443951157702E-2</v>
      </c>
      <c r="O85" s="12">
        <v>1.86611073926285</v>
      </c>
      <c r="P85" s="20">
        <v>2.4300388247225402</v>
      </c>
      <c r="Q85" s="12">
        <v>0.76574567818585704</v>
      </c>
      <c r="R85" s="12">
        <v>0.28211667713635702</v>
      </c>
      <c r="S85" s="12">
        <v>0.466807362156335</v>
      </c>
      <c r="T85" s="12">
        <v>0.13545161704492001</v>
      </c>
      <c r="U85" s="12">
        <v>4.1642443951157702E-2</v>
      </c>
      <c r="V85" s="12">
        <v>2.6187688426247702</v>
      </c>
      <c r="W85" s="20">
        <v>4.3105326210993997</v>
      </c>
      <c r="X85" s="12">
        <v>0.37369320673218298</v>
      </c>
      <c r="Y85" s="12">
        <v>3.3288417610578797E-2</v>
      </c>
      <c r="Z85" s="12">
        <v>0.31204339726207297</v>
      </c>
      <c r="AA85" s="12">
        <v>6.0803402207234597E-2</v>
      </c>
      <c r="AB85" s="12">
        <v>4.1642443951157702E-2</v>
      </c>
      <c r="AC85" s="20">
        <v>0.82147086776322698</v>
      </c>
      <c r="AD85" s="13">
        <v>-3.4890617533361725</v>
      </c>
      <c r="AE85" s="12">
        <v>2.7236622673952247</v>
      </c>
      <c r="AF85" s="12">
        <v>5.2473347385239562</v>
      </c>
      <c r="AG85" s="19">
        <f t="shared" si="0"/>
        <v>134.01074148193413</v>
      </c>
    </row>
    <row r="86" spans="1:33" ht="15" x14ac:dyDescent="0.2">
      <c r="A86" s="16" t="s">
        <v>127</v>
      </c>
      <c r="B86" s="7" t="s">
        <v>27</v>
      </c>
      <c r="C86" s="8">
        <v>69</v>
      </c>
      <c r="D86" s="9">
        <v>74.367999999999995</v>
      </c>
      <c r="E86" s="10">
        <v>0.73399999999999999</v>
      </c>
      <c r="F86" s="41">
        <v>4855.2735321574328</v>
      </c>
      <c r="G86" s="6" t="s">
        <v>39</v>
      </c>
      <c r="H86" s="7" t="s">
        <v>32</v>
      </c>
      <c r="I86" s="11">
        <v>2.9348500976562404</v>
      </c>
      <c r="J86" s="12">
        <v>0.111248232544828</v>
      </c>
      <c r="K86" s="12">
        <v>0</v>
      </c>
      <c r="L86" s="12">
        <v>0.101302674997861</v>
      </c>
      <c r="M86" s="12">
        <v>6.2027830175142001E-3</v>
      </c>
      <c r="N86" s="12">
        <v>3.3178154322539503E-2</v>
      </c>
      <c r="O86" s="12">
        <v>0.99918192429782904</v>
      </c>
      <c r="P86" s="20">
        <v>1.25111376918057</v>
      </c>
      <c r="Q86" s="12">
        <v>0.423745728719369</v>
      </c>
      <c r="R86" s="12">
        <v>8.3304652161736797E-2</v>
      </c>
      <c r="S86" s="12">
        <v>0.17677395027154399</v>
      </c>
      <c r="T86" s="12">
        <v>9.0268407568871098E-2</v>
      </c>
      <c r="U86" s="12">
        <v>3.3178154322539503E-2</v>
      </c>
      <c r="V86" s="12">
        <v>0.82658492265354899</v>
      </c>
      <c r="W86" s="20">
        <v>1.63385581569761</v>
      </c>
      <c r="X86" s="12">
        <v>0.111248232544828</v>
      </c>
      <c r="Y86" s="12">
        <v>0</v>
      </c>
      <c r="Z86" s="12">
        <v>0.166891630685438</v>
      </c>
      <c r="AA86" s="12">
        <v>0.10736241327477899</v>
      </c>
      <c r="AB86" s="12">
        <v>3.3178154322539503E-2</v>
      </c>
      <c r="AC86" s="20">
        <v>0.41868043082758299</v>
      </c>
      <c r="AD86" s="13">
        <v>-1.2151753848700269</v>
      </c>
      <c r="AE86" s="12">
        <v>1.0323715945907486</v>
      </c>
      <c r="AF86" s="12">
        <v>3.9023935569858268</v>
      </c>
      <c r="AG86" s="19">
        <f t="shared" si="0"/>
        <v>353.55486523696231</v>
      </c>
    </row>
    <row r="87" spans="1:33" ht="15" x14ac:dyDescent="0.2">
      <c r="A87" s="16" t="s">
        <v>128</v>
      </c>
      <c r="B87" s="7" t="s">
        <v>27</v>
      </c>
      <c r="C87" s="8">
        <v>79.8</v>
      </c>
      <c r="D87" s="9">
        <v>84.210999999999999</v>
      </c>
      <c r="E87" s="10">
        <v>0.91700000000000004</v>
      </c>
      <c r="F87" s="41">
        <v>48505.52664266323</v>
      </c>
      <c r="G87" s="6" t="s">
        <v>45</v>
      </c>
      <c r="H87" s="7" t="s">
        <v>40</v>
      </c>
      <c r="I87" s="11">
        <v>127.201999999999</v>
      </c>
      <c r="J87" s="12">
        <v>8.4842001953365997E-2</v>
      </c>
      <c r="K87" s="12">
        <v>3.0699296013464397E-5</v>
      </c>
      <c r="L87" s="12">
        <v>0.144963165745261</v>
      </c>
      <c r="M87" s="12">
        <v>0.16461213845251099</v>
      </c>
      <c r="N87" s="12">
        <v>6.0490380522290201E-2</v>
      </c>
      <c r="O87" s="12">
        <v>3.1101101814714802</v>
      </c>
      <c r="P87" s="20">
        <v>3.56504856744092</v>
      </c>
      <c r="Q87" s="12">
        <v>0.43960414478784698</v>
      </c>
      <c r="R87" s="12">
        <v>0.12222993937889701</v>
      </c>
      <c r="S87" s="12">
        <v>0.22604566937494899</v>
      </c>
      <c r="T87" s="12">
        <v>0.25903895801730997</v>
      </c>
      <c r="U87" s="12">
        <v>6.0490380522290201E-2</v>
      </c>
      <c r="V87" s="12">
        <v>3.5002832939180202</v>
      </c>
      <c r="W87" s="20">
        <v>4.6076923859993197</v>
      </c>
      <c r="X87" s="12">
        <v>8.48420019533659E-2</v>
      </c>
      <c r="Y87" s="12">
        <v>7.4521683471606504E-3</v>
      </c>
      <c r="Z87" s="12">
        <v>0.33943726618900699</v>
      </c>
      <c r="AA87" s="12">
        <v>9.9871565405764598E-2</v>
      </c>
      <c r="AB87" s="12">
        <v>6.0490380522290201E-2</v>
      </c>
      <c r="AC87" s="20">
        <v>0.59209338241758902</v>
      </c>
      <c r="AD87" s="13">
        <v>-4.0155990035817304</v>
      </c>
      <c r="AE87" s="12">
        <v>2.9114262655341645</v>
      </c>
      <c r="AF87" s="12">
        <v>7.7820366226448154</v>
      </c>
      <c r="AG87" s="19">
        <f t="shared" si="0"/>
        <v>125.36810714422569</v>
      </c>
    </row>
    <row r="88" spans="1:33" ht="15" x14ac:dyDescent="0.2">
      <c r="A88" s="16" t="s">
        <v>129</v>
      </c>
      <c r="B88" s="7" t="s">
        <v>27</v>
      </c>
      <c r="C88" s="8">
        <v>70.099999999999994</v>
      </c>
      <c r="D88" s="9">
        <v>74.405000000000001</v>
      </c>
      <c r="E88" s="10">
        <v>0.72799999999999998</v>
      </c>
      <c r="F88" s="41">
        <v>3306.6573844763175</v>
      </c>
      <c r="G88" s="6" t="s">
        <v>28</v>
      </c>
      <c r="H88" s="7" t="s">
        <v>32</v>
      </c>
      <c r="I88" s="11">
        <v>9.96532031250001</v>
      </c>
      <c r="J88" s="12">
        <v>5.4573495141652301E-2</v>
      </c>
      <c r="K88" s="12">
        <v>1.2390493703574999E-2</v>
      </c>
      <c r="L88" s="12">
        <v>1.4067297721558601E-2</v>
      </c>
      <c r="M88" s="12">
        <v>6.1606401921169196E-4</v>
      </c>
      <c r="N88" s="12">
        <v>6.3610020190700403E-2</v>
      </c>
      <c r="O88" s="12">
        <v>0.85130976748413301</v>
      </c>
      <c r="P88" s="20">
        <v>0.99656713826083099</v>
      </c>
      <c r="Q88" s="12">
        <v>0.43492605113457899</v>
      </c>
      <c r="R88" s="12">
        <v>0.12657217762912701</v>
      </c>
      <c r="S88" s="12">
        <v>0.130518294448979</v>
      </c>
      <c r="T88" s="12">
        <v>2.3507899710307398E-2</v>
      </c>
      <c r="U88" s="12">
        <v>6.3610020190700403E-2</v>
      </c>
      <c r="V88" s="12">
        <v>0.97792141695211998</v>
      </c>
      <c r="W88" s="20">
        <v>1.7570558600658099</v>
      </c>
      <c r="X88" s="12">
        <v>5.4573495141652301E-2</v>
      </c>
      <c r="Y88" s="12">
        <v>1.2390493703574999E-2</v>
      </c>
      <c r="Z88" s="12">
        <v>1.8039566187554899E-2</v>
      </c>
      <c r="AA88" s="12">
        <v>2.0379948617335599E-3</v>
      </c>
      <c r="AB88" s="12">
        <v>6.3610020190700403E-2</v>
      </c>
      <c r="AC88" s="20">
        <v>0.15065157008521601</v>
      </c>
      <c r="AD88" s="13">
        <v>-1.6064042899805939</v>
      </c>
      <c r="AE88" s="12">
        <v>1.1102170354405851</v>
      </c>
      <c r="AF88" s="12">
        <v>11.663043797498638</v>
      </c>
      <c r="AG88" s="19">
        <f t="shared" si="0"/>
        <v>328.7645463439959</v>
      </c>
    </row>
    <row r="89" spans="1:33" ht="15" x14ac:dyDescent="0.2">
      <c r="A89" s="16" t="s">
        <v>130</v>
      </c>
      <c r="B89" s="7" t="s">
        <v>27</v>
      </c>
      <c r="C89" s="8">
        <v>71.599999999999994</v>
      </c>
      <c r="D89" s="9">
        <v>73.150000000000006</v>
      </c>
      <c r="E89" s="10">
        <v>0.81899999999999995</v>
      </c>
      <c r="F89" s="41">
        <v>11135.614552165471</v>
      </c>
      <c r="G89" s="6" t="s">
        <v>28</v>
      </c>
      <c r="H89" s="7" t="s">
        <v>32</v>
      </c>
      <c r="I89" s="11">
        <v>18.319599609374901</v>
      </c>
      <c r="J89" s="12">
        <v>1.5573767531240701</v>
      </c>
      <c r="K89" s="12">
        <v>0.14439101914033201</v>
      </c>
      <c r="L89" s="12">
        <v>1.0253295395843499E-2</v>
      </c>
      <c r="M89" s="12">
        <v>1.7018062144188301E-2</v>
      </c>
      <c r="N89" s="12">
        <v>4.9396118412971798E-2</v>
      </c>
      <c r="O89" s="12">
        <v>4.0981864211995296</v>
      </c>
      <c r="P89" s="20">
        <v>5.87662166941693</v>
      </c>
      <c r="Q89" s="12">
        <v>0.91908710509454705</v>
      </c>
      <c r="R89" s="12">
        <v>0.16491257736060499</v>
      </c>
      <c r="S89" s="12">
        <v>6.0845823463585601E-2</v>
      </c>
      <c r="T89" s="12">
        <v>2.31055203637727E-2</v>
      </c>
      <c r="U89" s="12">
        <v>4.9396118412971798E-2</v>
      </c>
      <c r="V89" s="12">
        <v>3.7335385680320301</v>
      </c>
      <c r="W89" s="20">
        <v>4.9508857127275201</v>
      </c>
      <c r="X89" s="12">
        <v>1.5573767531240701</v>
      </c>
      <c r="Y89" s="12">
        <v>1.7034146328386699</v>
      </c>
      <c r="Z89" s="12">
        <v>0.214119940761096</v>
      </c>
      <c r="AA89" s="12">
        <v>5.01424254687294E-2</v>
      </c>
      <c r="AB89" s="12">
        <v>4.9396118412971798E-2</v>
      </c>
      <c r="AC89" s="20">
        <v>3.5744498706055401</v>
      </c>
      <c r="AD89" s="13">
        <v>-1.37643584212198</v>
      </c>
      <c r="AE89" s="12">
        <v>3.1282771275032903</v>
      </c>
      <c r="AF89" s="12">
        <v>1.3850762752168073</v>
      </c>
      <c r="AG89" s="19">
        <f t="shared" si="0"/>
        <v>116.67764239650667</v>
      </c>
    </row>
    <row r="90" spans="1:33" ht="15" x14ac:dyDescent="0.2">
      <c r="A90" s="16" t="s">
        <v>131</v>
      </c>
      <c r="B90" s="7" t="s">
        <v>27</v>
      </c>
      <c r="C90" s="8">
        <v>60.6</v>
      </c>
      <c r="D90" s="9">
        <v>66.341999999999999</v>
      </c>
      <c r="E90" s="10">
        <v>0.59899999999999998</v>
      </c>
      <c r="F90" s="41">
        <v>1201.4764406294476</v>
      </c>
      <c r="G90" s="6" t="s">
        <v>34</v>
      </c>
      <c r="H90" s="7" t="s">
        <v>29</v>
      </c>
      <c r="I90" s="11">
        <v>51.392601562500097</v>
      </c>
      <c r="J90" s="12">
        <v>0.20028085807009699</v>
      </c>
      <c r="K90" s="12">
        <v>0.198417670241365</v>
      </c>
      <c r="L90" s="12">
        <v>0.20767483178535301</v>
      </c>
      <c r="M90" s="12">
        <v>2.2150553563134098E-2</v>
      </c>
      <c r="N90" s="12">
        <v>4.2731330591770797E-2</v>
      </c>
      <c r="O90" s="12">
        <v>0.12048779670533501</v>
      </c>
      <c r="P90" s="20">
        <v>0.79174304095705605</v>
      </c>
      <c r="Q90" s="12">
        <v>0.267125721225488</v>
      </c>
      <c r="R90" s="12">
        <v>0.196572059026968</v>
      </c>
      <c r="S90" s="12">
        <v>0.22749893495552501</v>
      </c>
      <c r="T90" s="12">
        <v>2.4660665785174601E-2</v>
      </c>
      <c r="U90" s="12">
        <v>4.2731330591770797E-2</v>
      </c>
      <c r="V90" s="12">
        <v>0.24352038245389701</v>
      </c>
      <c r="W90" s="20">
        <v>1.00210909403882</v>
      </c>
      <c r="X90" s="12">
        <v>0.20028085807009799</v>
      </c>
      <c r="Y90" s="12">
        <v>0.198417670241365</v>
      </c>
      <c r="Z90" s="12">
        <v>1.16526018514349E-2</v>
      </c>
      <c r="AA90" s="12">
        <v>1.55969537112641E-2</v>
      </c>
      <c r="AB90" s="12">
        <v>4.2731330591770797E-2</v>
      </c>
      <c r="AC90" s="20">
        <v>0.46867941446593298</v>
      </c>
      <c r="AD90" s="13">
        <v>-0.53342967957288701</v>
      </c>
      <c r="AE90" s="12">
        <v>0.63319477363124854</v>
      </c>
      <c r="AF90" s="12">
        <v>2.1381547025715602</v>
      </c>
      <c r="AG90" s="21" t="str">
        <f t="shared" si="0"/>
        <v/>
      </c>
    </row>
    <row r="91" spans="1:33" ht="15" x14ac:dyDescent="0.2">
      <c r="A91" s="16" t="s">
        <v>132</v>
      </c>
      <c r="B91" s="7" t="s">
        <v>27</v>
      </c>
      <c r="C91" s="17"/>
      <c r="D91" s="9">
        <v>72.094999999999999</v>
      </c>
      <c r="E91" s="23" t="s">
        <v>103</v>
      </c>
      <c r="F91" s="43" t="s">
        <v>88</v>
      </c>
      <c r="G91" s="6" t="s">
        <v>45</v>
      </c>
      <c r="H91" s="7" t="s">
        <v>29</v>
      </c>
      <c r="I91" s="11">
        <v>25.5495996093751</v>
      </c>
      <c r="J91" s="12">
        <v>0.19383197557520801</v>
      </c>
      <c r="K91" s="12">
        <v>1.4397118009598401E-3</v>
      </c>
      <c r="L91" s="12">
        <v>0.13279125243567</v>
      </c>
      <c r="M91" s="12">
        <v>1.6892085952026299E-2</v>
      </c>
      <c r="N91" s="12">
        <v>4.7717524338330403E-2</v>
      </c>
      <c r="O91" s="12">
        <v>0.71035061256644805</v>
      </c>
      <c r="P91" s="20">
        <v>1.10302316266864</v>
      </c>
      <c r="Q91" s="12">
        <v>0.24355420329765801</v>
      </c>
      <c r="R91" s="12">
        <v>2.0003663654422901E-3</v>
      </c>
      <c r="S91" s="12">
        <v>0.13526604188552599</v>
      </c>
      <c r="T91" s="12">
        <v>2.7298562405109399E-2</v>
      </c>
      <c r="U91" s="12">
        <v>4.7717524338330403E-2</v>
      </c>
      <c r="V91" s="12">
        <v>0.71035061256644805</v>
      </c>
      <c r="W91" s="20">
        <v>1.1661873108585099</v>
      </c>
      <c r="X91" s="12">
        <v>0.19383197557520801</v>
      </c>
      <c r="Y91" s="12">
        <v>1.4397118009598401E-3</v>
      </c>
      <c r="Z91" s="12">
        <v>0.223357152986147</v>
      </c>
      <c r="AA91" s="12">
        <v>9.1446355543679095E-2</v>
      </c>
      <c r="AB91" s="12">
        <v>4.7717524338330403E-2</v>
      </c>
      <c r="AC91" s="20">
        <v>0.55779272024432403</v>
      </c>
      <c r="AD91" s="13">
        <v>-0.60839459061418588</v>
      </c>
      <c r="AE91" s="12">
        <v>0.73686958306565709</v>
      </c>
      <c r="AF91" s="12">
        <v>2.0907180544552415</v>
      </c>
      <c r="AG91" s="21" t="str">
        <f t="shared" si="0"/>
        <v/>
      </c>
    </row>
    <row r="92" spans="1:33" ht="15" x14ac:dyDescent="0.2">
      <c r="A92" s="16" t="s">
        <v>133</v>
      </c>
      <c r="B92" s="7" t="s">
        <v>27</v>
      </c>
      <c r="C92" s="8">
        <v>78.599999999999994</v>
      </c>
      <c r="D92" s="9">
        <v>82.626800000000003</v>
      </c>
      <c r="E92" s="10">
        <v>0.91400000000000003</v>
      </c>
      <c r="F92" s="41">
        <v>28335.97519991481</v>
      </c>
      <c r="G92" s="6" t="s">
        <v>45</v>
      </c>
      <c r="H92" s="7" t="s">
        <v>40</v>
      </c>
      <c r="I92" s="11">
        <v>51.17169921875</v>
      </c>
      <c r="J92" s="12">
        <v>0.115833907308939</v>
      </c>
      <c r="K92" s="12">
        <v>8.4114542010995503E-4</v>
      </c>
      <c r="L92" s="12">
        <v>5.9983953748542602E-2</v>
      </c>
      <c r="M92" s="12">
        <v>0.31347464636434202</v>
      </c>
      <c r="N92" s="12">
        <v>5.4792558180402302E-2</v>
      </c>
      <c r="O92" s="12">
        <v>4.3407098677581901</v>
      </c>
      <c r="P92" s="20">
        <v>4.8856360787805198</v>
      </c>
      <c r="Q92" s="12">
        <v>0.68825127818486997</v>
      </c>
      <c r="R92" s="12">
        <v>0.18488853458354601</v>
      </c>
      <c r="S92" s="12">
        <v>0.22660505976693199</v>
      </c>
      <c r="T92" s="12">
        <v>0.429459812458174</v>
      </c>
      <c r="U92" s="12">
        <v>5.4792558180402302E-2</v>
      </c>
      <c r="V92" s="12">
        <v>4.7328225885604498</v>
      </c>
      <c r="W92" s="20">
        <v>6.3168198317343798</v>
      </c>
      <c r="X92" s="12">
        <v>0.115833907308939</v>
      </c>
      <c r="Y92" s="12">
        <v>8.4114542010995503E-4</v>
      </c>
      <c r="Z92" s="12">
        <v>8.8572782454946306E-2</v>
      </c>
      <c r="AA92" s="12">
        <v>0.38369892508245801</v>
      </c>
      <c r="AB92" s="12">
        <v>5.4792558180402302E-2</v>
      </c>
      <c r="AC92" s="20">
        <v>0.64373931844685595</v>
      </c>
      <c r="AD92" s="13">
        <v>-5.6730805132875242</v>
      </c>
      <c r="AE92" s="12">
        <v>3.9913591516309377</v>
      </c>
      <c r="AF92" s="12">
        <v>9.8126984801470787</v>
      </c>
      <c r="AG92" s="19">
        <f t="shared" si="0"/>
        <v>91.447546094882185</v>
      </c>
    </row>
    <row r="93" spans="1:33" ht="15" x14ac:dyDescent="0.2">
      <c r="A93" s="16" t="s">
        <v>134</v>
      </c>
      <c r="B93" s="7" t="s">
        <v>27</v>
      </c>
      <c r="C93" s="8">
        <v>62.5</v>
      </c>
      <c r="D93" s="9">
        <v>75.397999999999996</v>
      </c>
      <c r="E93" s="10">
        <v>0.80700000000000005</v>
      </c>
      <c r="F93" s="41">
        <v>33113.302619278569</v>
      </c>
      <c r="G93" s="6" t="s">
        <v>28</v>
      </c>
      <c r="H93" s="7" t="s">
        <v>40</v>
      </c>
      <c r="I93" s="11">
        <v>4.1373100585937497</v>
      </c>
      <c r="J93" s="12">
        <v>2.1511935697884899E-2</v>
      </c>
      <c r="K93" s="12">
        <v>5.4862966079995204E-3</v>
      </c>
      <c r="L93" s="12">
        <v>1.8639177776481901E-3</v>
      </c>
      <c r="M93" s="12">
        <v>3.32985973999889E-3</v>
      </c>
      <c r="N93" s="12">
        <v>0.18029306824404001</v>
      </c>
      <c r="O93" s="12">
        <v>7.7184604950613798</v>
      </c>
      <c r="P93" s="20">
        <v>7.93094557312895</v>
      </c>
      <c r="Q93" s="12">
        <v>0.670340624555402</v>
      </c>
      <c r="R93" s="12">
        <v>0.27736305033302699</v>
      </c>
      <c r="S93" s="12">
        <v>0.20400116984755001</v>
      </c>
      <c r="T93" s="12">
        <v>8.5871238124615598E-2</v>
      </c>
      <c r="U93" s="12">
        <v>0.18029306824404001</v>
      </c>
      <c r="V93" s="12">
        <v>6.4818608472368604</v>
      </c>
      <c r="W93" s="20">
        <v>7.8997299983414999</v>
      </c>
      <c r="X93" s="12">
        <v>2.1511935697884899E-2</v>
      </c>
      <c r="Y93" s="12">
        <v>5.4862966079995204E-3</v>
      </c>
      <c r="Z93" s="12">
        <v>2.7853173521141402E-3</v>
      </c>
      <c r="AA93" s="12">
        <v>0.29127684684392402</v>
      </c>
      <c r="AB93" s="12">
        <v>0.18029306824404001</v>
      </c>
      <c r="AC93" s="20">
        <v>0.50135346474596298</v>
      </c>
      <c r="AD93" s="13">
        <v>-7.3983765335955365</v>
      </c>
      <c r="AE93" s="12">
        <v>4.9915401205350776</v>
      </c>
      <c r="AF93" s="12">
        <v>15.756807429952264</v>
      </c>
      <c r="AG93" s="19">
        <f t="shared" si="0"/>
        <v>73.123723577498382</v>
      </c>
    </row>
    <row r="94" spans="1:33" ht="15" x14ac:dyDescent="0.2">
      <c r="A94" s="16" t="s">
        <v>135</v>
      </c>
      <c r="B94" s="7" t="s">
        <v>56</v>
      </c>
      <c r="C94" s="8">
        <v>74</v>
      </c>
      <c r="D94" s="9">
        <v>71.400000000000006</v>
      </c>
      <c r="E94" s="10">
        <v>0.69599999999999995</v>
      </c>
      <c r="F94" s="41">
        <v>1094.1160234110562</v>
      </c>
      <c r="G94" s="6" t="s">
        <v>28</v>
      </c>
      <c r="H94" s="7" t="s">
        <v>29</v>
      </c>
      <c r="I94" s="11">
        <v>6.3040297851562395</v>
      </c>
      <c r="J94" s="12">
        <v>0.42491798800625502</v>
      </c>
      <c r="K94" s="12">
        <v>0.21079116497690301</v>
      </c>
      <c r="L94" s="12">
        <v>3.2156275348025E-3</v>
      </c>
      <c r="M94" s="12">
        <v>1.8190038026543199E-6</v>
      </c>
      <c r="N94" s="12">
        <v>8.3749626656263398E-2</v>
      </c>
      <c r="O94" s="12">
        <v>0.599923418717489</v>
      </c>
      <c r="P94" s="20">
        <v>1.32259964489552</v>
      </c>
      <c r="Q94" s="12">
        <v>0.446365358581639</v>
      </c>
      <c r="R94" s="12">
        <v>0.17517910294150299</v>
      </c>
      <c r="S94" s="12">
        <v>4.5660049836707697E-2</v>
      </c>
      <c r="T94" s="12">
        <v>4.5144499629505598E-3</v>
      </c>
      <c r="U94" s="12">
        <v>8.3749626656263398E-2</v>
      </c>
      <c r="V94" s="12">
        <v>0.78608314071184604</v>
      </c>
      <c r="W94" s="20">
        <v>1.54155172869091</v>
      </c>
      <c r="X94" s="12">
        <v>0.42491798800625502</v>
      </c>
      <c r="Y94" s="12">
        <v>0.54342938716723599</v>
      </c>
      <c r="Z94" s="12">
        <v>0.102162781662331</v>
      </c>
      <c r="AA94" s="12">
        <v>4.7116429207907103E-2</v>
      </c>
      <c r="AB94" s="12">
        <v>8.3749626656263398E-2</v>
      </c>
      <c r="AC94" s="20">
        <v>1.2013762126999901</v>
      </c>
      <c r="AD94" s="13">
        <v>-0.34017551599091989</v>
      </c>
      <c r="AE94" s="12">
        <v>0.97404813876630481</v>
      </c>
      <c r="AF94" s="12">
        <v>1.2831548622278817</v>
      </c>
      <c r="AG94" s="21" t="str">
        <f t="shared" si="0"/>
        <v/>
      </c>
    </row>
    <row r="95" spans="1:33" ht="15" x14ac:dyDescent="0.2">
      <c r="A95" s="16" t="s">
        <v>136</v>
      </c>
      <c r="B95" s="7" t="s">
        <v>27</v>
      </c>
      <c r="C95" s="8">
        <v>63</v>
      </c>
      <c r="D95" s="9">
        <v>67.61</v>
      </c>
      <c r="E95" s="10">
        <v>0.60899999999999999</v>
      </c>
      <c r="F95" s="41">
        <v>1785.5813301256514</v>
      </c>
      <c r="G95" s="6" t="s">
        <v>45</v>
      </c>
      <c r="H95" s="7" t="s">
        <v>36</v>
      </c>
      <c r="I95" s="11">
        <v>7.0615097656250194</v>
      </c>
      <c r="J95" s="12">
        <v>0.74442655825878301</v>
      </c>
      <c r="K95" s="12">
        <v>8.28405714786625E-2</v>
      </c>
      <c r="L95" s="12">
        <v>0.44890382868129702</v>
      </c>
      <c r="M95" s="12">
        <v>1.41008293316803E-2</v>
      </c>
      <c r="N95" s="12">
        <v>0.15222158888801199</v>
      </c>
      <c r="O95" s="12">
        <v>0.86196163584872298</v>
      </c>
      <c r="P95" s="20">
        <v>2.3044550124871601</v>
      </c>
      <c r="Q95" s="12">
        <v>0.74343750853512602</v>
      </c>
      <c r="R95" s="12">
        <v>0.24281977447367301</v>
      </c>
      <c r="S95" s="12">
        <v>0.36293934938728201</v>
      </c>
      <c r="T95" s="12">
        <v>1.6440942024519799E-2</v>
      </c>
      <c r="U95" s="12">
        <v>0.15222158888801199</v>
      </c>
      <c r="V95" s="12">
        <v>0.32202767100366197</v>
      </c>
      <c r="W95" s="20">
        <v>1.8398868343122701</v>
      </c>
      <c r="X95" s="12">
        <v>0.74442655825878301</v>
      </c>
      <c r="Y95" s="12">
        <v>0.11699467057589</v>
      </c>
      <c r="Z95" s="12">
        <v>0.65227190250284095</v>
      </c>
      <c r="AA95" s="12">
        <v>3.0969913638469501E-2</v>
      </c>
      <c r="AB95" s="12">
        <v>0.15222158888801199</v>
      </c>
      <c r="AC95" s="20">
        <v>1.696884633864</v>
      </c>
      <c r="AD95" s="13">
        <v>-0.14300220044827006</v>
      </c>
      <c r="AE95" s="12">
        <v>1.1625547901816984</v>
      </c>
      <c r="AF95" s="12">
        <v>1.0842733781628029</v>
      </c>
      <c r="AG95" s="19">
        <f t="shared" si="0"/>
        <v>313.96369709418451</v>
      </c>
    </row>
    <row r="96" spans="1:33" ht="15" x14ac:dyDescent="0.2">
      <c r="A96" s="16" t="s">
        <v>137</v>
      </c>
      <c r="B96" s="7" t="s">
        <v>27</v>
      </c>
      <c r="C96" s="8">
        <v>79.2</v>
      </c>
      <c r="D96" s="9">
        <v>74.782899999999998</v>
      </c>
      <c r="E96" s="10">
        <v>0.86299999999999999</v>
      </c>
      <c r="F96" s="41">
        <v>16252.398615921245</v>
      </c>
      <c r="G96" s="6" t="s">
        <v>47</v>
      </c>
      <c r="H96" s="7" t="s">
        <v>40</v>
      </c>
      <c r="I96" s="11">
        <v>1.9284599609374899</v>
      </c>
      <c r="J96" s="12">
        <v>1.3155457955296199</v>
      </c>
      <c r="K96" s="12">
        <v>0.15750509750384001</v>
      </c>
      <c r="L96" s="12">
        <v>4.2958451279794403</v>
      </c>
      <c r="M96" s="12">
        <v>0.28435025860818203</v>
      </c>
      <c r="N96" s="12">
        <v>9.2116992247150906E-2</v>
      </c>
      <c r="O96" s="12">
        <v>1.4053722636366299</v>
      </c>
      <c r="P96" s="20">
        <v>7.5507355355048702</v>
      </c>
      <c r="Q96" s="12">
        <v>0.79246309671611304</v>
      </c>
      <c r="R96" s="12">
        <v>0.146518151836528</v>
      </c>
      <c r="S96" s="12">
        <v>3.1916485795652201</v>
      </c>
      <c r="T96" s="12">
        <v>0.25642785040817001</v>
      </c>
      <c r="U96" s="12">
        <v>9.2116992247150906E-2</v>
      </c>
      <c r="V96" s="12">
        <v>1.9259991723236101</v>
      </c>
      <c r="W96" s="20">
        <v>6.4051738430967902</v>
      </c>
      <c r="X96" s="12">
        <v>1.3155457955296199</v>
      </c>
      <c r="Y96" s="12">
        <v>0.24005946902462</v>
      </c>
      <c r="Z96" s="12">
        <v>4.4451964614935102</v>
      </c>
      <c r="AA96" s="12">
        <v>2.06275249444696</v>
      </c>
      <c r="AB96" s="12">
        <v>9.2116992247150906E-2</v>
      </c>
      <c r="AC96" s="20">
        <v>8.1556712127418596</v>
      </c>
      <c r="AD96" s="13">
        <v>1.7504973696450694</v>
      </c>
      <c r="AE96" s="12">
        <v>4.0471867042964433</v>
      </c>
      <c r="AF96" s="12">
        <v>0.78536440177845657</v>
      </c>
      <c r="AG96" s="19">
        <f t="shared" si="0"/>
        <v>90.186103747702205</v>
      </c>
    </row>
    <row r="97" spans="1:33" ht="15" x14ac:dyDescent="0.2">
      <c r="A97" s="16" t="s">
        <v>138</v>
      </c>
      <c r="B97" s="7" t="s">
        <v>27</v>
      </c>
      <c r="C97" s="8">
        <v>66.8</v>
      </c>
      <c r="D97" s="9">
        <v>78.875</v>
      </c>
      <c r="E97" s="10">
        <v>0.747</v>
      </c>
      <c r="F97" s="41">
        <v>6204.862959130629</v>
      </c>
      <c r="G97" s="6" t="s">
        <v>28</v>
      </c>
      <c r="H97" s="7" t="s">
        <v>32</v>
      </c>
      <c r="I97" s="11">
        <v>6.8594101562499894</v>
      </c>
      <c r="J97" s="12">
        <v>0.12567196783640699</v>
      </c>
      <c r="K97" s="12">
        <v>3.0435913844808801E-2</v>
      </c>
      <c r="L97" s="12">
        <v>1.7465350682440901E-3</v>
      </c>
      <c r="M97" s="12">
        <v>3.0024599846689599E-3</v>
      </c>
      <c r="N97" s="12">
        <v>5.3907914935182301E-2</v>
      </c>
      <c r="O97" s="12">
        <v>1.36652591139627</v>
      </c>
      <c r="P97" s="20">
        <v>1.5812907030655801</v>
      </c>
      <c r="Q97" s="12">
        <v>0.58194383364720803</v>
      </c>
      <c r="R97" s="12">
        <v>0.33045324160406497</v>
      </c>
      <c r="S97" s="12">
        <v>0.146353124564089</v>
      </c>
      <c r="T97" s="12">
        <v>4.2287344033899298E-2</v>
      </c>
      <c r="U97" s="12">
        <v>5.3907914935182301E-2</v>
      </c>
      <c r="V97" s="12">
        <v>1.8087717440228701</v>
      </c>
      <c r="W97" s="20">
        <v>2.96371720280731</v>
      </c>
      <c r="X97" s="12">
        <v>0.12567196783640699</v>
      </c>
      <c r="Y97" s="12">
        <v>3.0435913844808801E-2</v>
      </c>
      <c r="Z97" s="12">
        <v>3.82042536976029E-2</v>
      </c>
      <c r="AA97" s="12">
        <v>4.9378278857785899E-3</v>
      </c>
      <c r="AB97" s="12">
        <v>5.3907914935182301E-2</v>
      </c>
      <c r="AC97" s="20">
        <v>0.25315787819977897</v>
      </c>
      <c r="AD97" s="13">
        <v>-2.710559324607531</v>
      </c>
      <c r="AE97" s="12">
        <v>1.8726606259756335</v>
      </c>
      <c r="AF97" s="12">
        <v>11.706991794537396</v>
      </c>
      <c r="AG97" s="19">
        <f t="shared" si="0"/>
        <v>194.9098490869585</v>
      </c>
    </row>
    <row r="98" spans="1:33" ht="15" x14ac:dyDescent="0.2">
      <c r="A98" s="16" t="s">
        <v>139</v>
      </c>
      <c r="B98" s="7" t="s">
        <v>27</v>
      </c>
      <c r="C98" s="8">
        <v>54.6</v>
      </c>
      <c r="D98" s="9">
        <v>53.704999999999998</v>
      </c>
      <c r="E98" s="10">
        <v>0.52200000000000002</v>
      </c>
      <c r="F98" s="41">
        <v>1374.5143751765984</v>
      </c>
      <c r="G98" s="6" t="s">
        <v>34</v>
      </c>
      <c r="H98" s="7" t="s">
        <v>36</v>
      </c>
      <c r="I98" s="11">
        <v>2.1083300781249901</v>
      </c>
      <c r="J98" s="12">
        <v>6.8916129867366699E-2</v>
      </c>
      <c r="K98" s="12">
        <v>0.42677827601490298</v>
      </c>
      <c r="L98" s="12">
        <v>0.38739754679308802</v>
      </c>
      <c r="M98" s="12">
        <v>3.5649392808175002E-5</v>
      </c>
      <c r="N98" s="12">
        <v>8.0829728547532793E-3</v>
      </c>
      <c r="O98" s="12">
        <v>0.40979566043811699</v>
      </c>
      <c r="P98" s="20">
        <v>1.3010062353610401</v>
      </c>
      <c r="Q98" s="12">
        <v>0.25351515650163697</v>
      </c>
      <c r="R98" s="12">
        <v>0.25498370767419398</v>
      </c>
      <c r="S98" s="12">
        <v>0.42346413643222902</v>
      </c>
      <c r="T98" s="12">
        <v>8.0534500042680496E-3</v>
      </c>
      <c r="U98" s="12">
        <v>8.0829728547532793E-3</v>
      </c>
      <c r="V98" s="12">
        <v>0.596044203040207</v>
      </c>
      <c r="W98" s="20">
        <v>1.5441436265072901</v>
      </c>
      <c r="X98" s="12">
        <v>6.8916129867366796E-2</v>
      </c>
      <c r="Y98" s="12">
        <v>0.71801832263538401</v>
      </c>
      <c r="Z98" s="12">
        <v>1.8150459964832301E-3</v>
      </c>
      <c r="AA98" s="12">
        <v>0</v>
      </c>
      <c r="AB98" s="12">
        <v>8.0829728547532793E-3</v>
      </c>
      <c r="AC98" s="20">
        <v>0.79683247135398705</v>
      </c>
      <c r="AD98" s="13">
        <v>-0.74731115515330304</v>
      </c>
      <c r="AE98" s="12">
        <v>0.97568586080762842</v>
      </c>
      <c r="AF98" s="12">
        <v>1.9378522864203354</v>
      </c>
      <c r="AG98" s="21" t="str">
        <f t="shared" si="0"/>
        <v/>
      </c>
    </row>
    <row r="99" spans="1:33" ht="15" x14ac:dyDescent="0.2">
      <c r="A99" s="16" t="s">
        <v>140</v>
      </c>
      <c r="B99" s="7" t="s">
        <v>56</v>
      </c>
      <c r="C99" s="8">
        <v>48.6</v>
      </c>
      <c r="D99" s="9">
        <v>63.73</v>
      </c>
      <c r="E99" s="10">
        <v>0.48</v>
      </c>
      <c r="F99" s="41">
        <v>541.27124338007127</v>
      </c>
      <c r="G99" s="6" t="s">
        <v>34</v>
      </c>
      <c r="H99" s="7" t="s">
        <v>29</v>
      </c>
      <c r="I99" s="11">
        <v>4.8189702148437394</v>
      </c>
      <c r="J99" s="12">
        <v>0.139432726634208</v>
      </c>
      <c r="K99" s="12">
        <v>2.1531830120574202E-2</v>
      </c>
      <c r="L99" s="12">
        <v>0.78412676149384697</v>
      </c>
      <c r="M99" s="12">
        <v>4.3241232742405503E-2</v>
      </c>
      <c r="N99" s="12">
        <v>3.4709585772209298E-2</v>
      </c>
      <c r="O99" s="12">
        <v>7.1189094870654807E-2</v>
      </c>
      <c r="P99" s="20">
        <v>1.0942312316339</v>
      </c>
      <c r="Q99" s="12">
        <v>0.28864522410515098</v>
      </c>
      <c r="R99" s="12">
        <v>3.3543217511129403E-2</v>
      </c>
      <c r="S99" s="12">
        <v>0.76135551740560803</v>
      </c>
      <c r="T99" s="12">
        <v>5.1751398906645603E-2</v>
      </c>
      <c r="U99" s="12">
        <v>3.4709585772209298E-2</v>
      </c>
      <c r="V99" s="12">
        <v>7.2956738479446004E-2</v>
      </c>
      <c r="W99" s="20">
        <v>1.2429616821801901</v>
      </c>
      <c r="X99" s="12">
        <v>0.139432726634208</v>
      </c>
      <c r="Y99" s="12">
        <v>0.33355456631482</v>
      </c>
      <c r="Z99" s="12">
        <v>2.2018896763845999</v>
      </c>
      <c r="AA99" s="12">
        <v>0.27912738061264902</v>
      </c>
      <c r="AB99" s="12">
        <v>3.4709585772209298E-2</v>
      </c>
      <c r="AC99" s="20">
        <v>2.9887139357184802</v>
      </c>
      <c r="AD99" s="13">
        <v>1.7457522535382901</v>
      </c>
      <c r="AE99" s="12">
        <v>0.78538039986084873</v>
      </c>
      <c r="AF99" s="12">
        <v>0.41588512949513345</v>
      </c>
      <c r="AG99" s="21" t="str">
        <f t="shared" si="0"/>
        <v/>
      </c>
    </row>
    <row r="100" spans="1:33" ht="15" x14ac:dyDescent="0.2">
      <c r="A100" s="16" t="s">
        <v>141</v>
      </c>
      <c r="B100" s="7" t="s">
        <v>27</v>
      </c>
      <c r="C100" s="17"/>
      <c r="D100" s="9">
        <v>72.724000000000004</v>
      </c>
      <c r="E100" s="10">
        <v>0.72099999999999997</v>
      </c>
      <c r="F100" s="41">
        <v>8038.5890864181683</v>
      </c>
      <c r="G100" s="6" t="s">
        <v>34</v>
      </c>
      <c r="H100" s="7" t="s">
        <v>32</v>
      </c>
      <c r="I100" s="11">
        <v>6.6785600585937503</v>
      </c>
      <c r="J100" s="12">
        <v>0.121274473835355</v>
      </c>
      <c r="K100" s="12">
        <v>0.20992052036789799</v>
      </c>
      <c r="L100" s="12">
        <v>7.0868844056031097E-2</v>
      </c>
      <c r="M100" s="12">
        <v>4.3447571346399101E-2</v>
      </c>
      <c r="N100" s="12">
        <v>1.5264197466320399E-2</v>
      </c>
      <c r="O100" s="12">
        <v>2.4594711788796499</v>
      </c>
      <c r="P100" s="20">
        <v>2.9202467859516599</v>
      </c>
      <c r="Q100" s="12">
        <v>0.72675126661359701</v>
      </c>
      <c r="R100" s="12">
        <v>0.23781895006797299</v>
      </c>
      <c r="S100" s="12">
        <v>9.6128303866727202E-2</v>
      </c>
      <c r="T100" s="12">
        <v>9.2637547273712706E-2</v>
      </c>
      <c r="U100" s="12">
        <v>1.5264197466320399E-2</v>
      </c>
      <c r="V100" s="12">
        <v>2.1125343420136198</v>
      </c>
      <c r="W100" s="20">
        <v>3.2811346073019498</v>
      </c>
      <c r="X100" s="12">
        <v>0.121274473835355</v>
      </c>
      <c r="Y100" s="12">
        <v>0.20992052036789799</v>
      </c>
      <c r="Z100" s="12">
        <v>1.8009528965933101E-2</v>
      </c>
      <c r="AA100" s="12">
        <v>0.23478215018367399</v>
      </c>
      <c r="AB100" s="12">
        <v>1.5264197466320399E-2</v>
      </c>
      <c r="AC100" s="20">
        <v>0.59925087081918005</v>
      </c>
      <c r="AD100" s="13">
        <v>-2.6818837364827699</v>
      </c>
      <c r="AE100" s="12">
        <v>2.0732246591544565</v>
      </c>
      <c r="AF100" s="12">
        <v>5.4753939745078988</v>
      </c>
      <c r="AG100" s="19">
        <f t="shared" si="0"/>
        <v>176.05424399537168</v>
      </c>
    </row>
    <row r="101" spans="1:33" ht="15" x14ac:dyDescent="0.2">
      <c r="A101" s="16" t="s">
        <v>142</v>
      </c>
      <c r="B101" s="7" t="s">
        <v>27</v>
      </c>
      <c r="C101" s="8">
        <v>76.7</v>
      </c>
      <c r="D101" s="9">
        <v>75.680499999999995</v>
      </c>
      <c r="E101" s="10">
        <v>0.876</v>
      </c>
      <c r="F101" s="41">
        <v>17744.050829526059</v>
      </c>
      <c r="G101" s="6" t="s">
        <v>47</v>
      </c>
      <c r="H101" s="7" t="s">
        <v>32</v>
      </c>
      <c r="I101" s="11">
        <v>2.8012600097656302</v>
      </c>
      <c r="J101" s="12">
        <v>1.8571918416997399</v>
      </c>
      <c r="K101" s="12">
        <v>0.14505248136767701</v>
      </c>
      <c r="L101" s="12">
        <v>1.52280527741787</v>
      </c>
      <c r="M101" s="12">
        <v>0.134357921362977</v>
      </c>
      <c r="N101" s="12">
        <v>0.123577088845067</v>
      </c>
      <c r="O101" s="12">
        <v>1.6322634231342901</v>
      </c>
      <c r="P101" s="20">
        <v>5.4152480338276296</v>
      </c>
      <c r="Q101" s="12">
        <v>0.84684965736537199</v>
      </c>
      <c r="R101" s="12">
        <v>0.33986690753805598</v>
      </c>
      <c r="S101" s="12">
        <v>1.35188958064444</v>
      </c>
      <c r="T101" s="12">
        <v>0.20865524716740599</v>
      </c>
      <c r="U101" s="12">
        <v>0.123577088845067</v>
      </c>
      <c r="V101" s="12">
        <v>3.1299461179057402</v>
      </c>
      <c r="W101" s="20">
        <v>6.0007845994660798</v>
      </c>
      <c r="X101" s="12">
        <v>1.8571918416997399</v>
      </c>
      <c r="Y101" s="12">
        <v>0.146038294351858</v>
      </c>
      <c r="Z101" s="12">
        <v>2.3022039181301901</v>
      </c>
      <c r="AA101" s="12">
        <v>0.32090809154009597</v>
      </c>
      <c r="AB101" s="12">
        <v>0.123577088845067</v>
      </c>
      <c r="AC101" s="20">
        <v>4.7499192345669501</v>
      </c>
      <c r="AD101" s="13">
        <v>-1.2508653648991297</v>
      </c>
      <c r="AE101" s="12">
        <v>3.7916684607211182</v>
      </c>
      <c r="AF101" s="12">
        <v>1.2633445545339195</v>
      </c>
      <c r="AG101" s="19">
        <f t="shared" si="0"/>
        <v>96.263690715876166</v>
      </c>
    </row>
    <row r="102" spans="1:33" ht="15" x14ac:dyDescent="0.2">
      <c r="A102" s="16" t="s">
        <v>143</v>
      </c>
      <c r="B102" s="7" t="s">
        <v>27</v>
      </c>
      <c r="C102" s="8">
        <v>74.2</v>
      </c>
      <c r="D102" s="9">
        <v>82.295100000000005</v>
      </c>
      <c r="E102" s="10">
        <v>0.91300000000000003</v>
      </c>
      <c r="F102" s="41">
        <v>111380.64947802795</v>
      </c>
      <c r="G102" s="6" t="s">
        <v>47</v>
      </c>
      <c r="H102" s="7" t="s">
        <v>40</v>
      </c>
      <c r="I102" s="11">
        <v>0.60424499511718599</v>
      </c>
      <c r="J102" s="12">
        <v>0.296401959170984</v>
      </c>
      <c r="K102" s="12">
        <v>7.2450154435517902E-2</v>
      </c>
      <c r="L102" s="12">
        <v>0.47008610403247503</v>
      </c>
      <c r="M102" s="12">
        <v>0</v>
      </c>
      <c r="N102" s="12">
        <v>8.4863256857731995E-2</v>
      </c>
      <c r="O102" s="12">
        <v>5.3401209144663904</v>
      </c>
      <c r="P102" s="20">
        <v>6.2639223889630999</v>
      </c>
      <c r="Q102" s="12">
        <v>0.84274033825369099</v>
      </c>
      <c r="R102" s="12">
        <v>0.60076202645709897</v>
      </c>
      <c r="S102" s="12">
        <v>1.5889262882728299</v>
      </c>
      <c r="T102" s="12">
        <v>0.13749071616990399</v>
      </c>
      <c r="U102" s="12">
        <v>8.4863256857731995E-2</v>
      </c>
      <c r="V102" s="12">
        <v>9.6955763864178195</v>
      </c>
      <c r="W102" s="20">
        <v>12.9503590124291</v>
      </c>
      <c r="X102" s="12">
        <v>0.296401959170984</v>
      </c>
      <c r="Y102" s="12">
        <v>7.2450154435517902E-2</v>
      </c>
      <c r="Z102" s="12">
        <v>0.75340271506512202</v>
      </c>
      <c r="AA102" s="12">
        <v>6.0321654672594496E-4</v>
      </c>
      <c r="AB102" s="12">
        <v>8.4863256857731995E-2</v>
      </c>
      <c r="AC102" s="20">
        <v>1.20772130207608</v>
      </c>
      <c r="AD102" s="13">
        <v>-11.742637710353019</v>
      </c>
      <c r="AE102" s="12">
        <v>8.1828412615930066</v>
      </c>
      <c r="AF102" s="12">
        <v>10.722969769736906</v>
      </c>
      <c r="AG102" s="19">
        <f t="shared" si="0"/>
        <v>44.605533497657397</v>
      </c>
    </row>
    <row r="103" spans="1:33" ht="15" x14ac:dyDescent="0.2">
      <c r="A103" s="16" t="s">
        <v>144</v>
      </c>
      <c r="B103" s="7" t="s">
        <v>27</v>
      </c>
      <c r="C103" s="8">
        <v>49</v>
      </c>
      <c r="D103" s="9">
        <v>66.680999999999997</v>
      </c>
      <c r="E103" s="10">
        <v>0.52700000000000002</v>
      </c>
      <c r="F103" s="41">
        <v>490.0979585607875</v>
      </c>
      <c r="G103" s="6" t="s">
        <v>34</v>
      </c>
      <c r="H103" s="7" t="s">
        <v>29</v>
      </c>
      <c r="I103" s="11">
        <v>26.262300781250001</v>
      </c>
      <c r="J103" s="12">
        <v>0.20861551461462599</v>
      </c>
      <c r="K103" s="12">
        <v>0.31562708572210202</v>
      </c>
      <c r="L103" s="12">
        <v>0.215441627435248</v>
      </c>
      <c r="M103" s="12">
        <v>2.0234246166024799E-2</v>
      </c>
      <c r="N103" s="12">
        <v>6.1678335022036797E-2</v>
      </c>
      <c r="O103" s="12">
        <v>4.2488127813956202E-2</v>
      </c>
      <c r="P103" s="20">
        <v>0.864084936773995</v>
      </c>
      <c r="Q103" s="12">
        <v>0.24484267632704301</v>
      </c>
      <c r="R103" s="12">
        <v>0.31368012689781899</v>
      </c>
      <c r="S103" s="12">
        <v>0.218091230119559</v>
      </c>
      <c r="T103" s="12">
        <v>1.84894695187581E-2</v>
      </c>
      <c r="U103" s="12">
        <v>6.1678335022036797E-2</v>
      </c>
      <c r="V103" s="12">
        <v>9.4271232245621298E-2</v>
      </c>
      <c r="W103" s="20">
        <v>0.95105307013083695</v>
      </c>
      <c r="X103" s="12">
        <v>0.20861551461462599</v>
      </c>
      <c r="Y103" s="12">
        <v>1.1039920710564799</v>
      </c>
      <c r="Z103" s="12">
        <v>0.65547804305895796</v>
      </c>
      <c r="AA103" s="12">
        <v>0.18054509822097001</v>
      </c>
      <c r="AB103" s="12">
        <v>6.1678335022036797E-2</v>
      </c>
      <c r="AC103" s="20">
        <v>2.2103090619730699</v>
      </c>
      <c r="AD103" s="13">
        <v>1.2592559918422328</v>
      </c>
      <c r="AE103" s="12">
        <v>0.6009344062787948</v>
      </c>
      <c r="AF103" s="12">
        <v>0.43028058224665799</v>
      </c>
      <c r="AG103" s="21" t="str">
        <f t="shared" si="0"/>
        <v/>
      </c>
    </row>
    <row r="104" spans="1:33" ht="15" x14ac:dyDescent="0.2">
      <c r="A104" s="16" t="s">
        <v>145</v>
      </c>
      <c r="B104" s="7" t="s">
        <v>27</v>
      </c>
      <c r="C104" s="8">
        <v>51.4</v>
      </c>
      <c r="D104" s="9">
        <v>63.798000000000002</v>
      </c>
      <c r="E104" s="10">
        <v>0.47799999999999998</v>
      </c>
      <c r="F104" s="41">
        <v>515.1098153814952</v>
      </c>
      <c r="G104" s="6" t="s">
        <v>34</v>
      </c>
      <c r="H104" s="7" t="s">
        <v>29</v>
      </c>
      <c r="I104" s="11">
        <v>18.143199218749999</v>
      </c>
      <c r="J104" s="12">
        <v>0.48007080666004498</v>
      </c>
      <c r="K104" s="12">
        <v>6.5684686019602506E-2</v>
      </c>
      <c r="L104" s="12">
        <v>0.177599713309605</v>
      </c>
      <c r="M104" s="12">
        <v>1.9708020121078501E-2</v>
      </c>
      <c r="N104" s="12">
        <v>6.6612353580006597E-2</v>
      </c>
      <c r="O104" s="12">
        <v>2.9391953754904901E-2</v>
      </c>
      <c r="P104" s="20">
        <v>0.83906753344524299</v>
      </c>
      <c r="Q104" s="12">
        <v>0.46446129451761398</v>
      </c>
      <c r="R104" s="12">
        <v>6.6385114678095505E-2</v>
      </c>
      <c r="S104" s="12">
        <v>0.178200549870146</v>
      </c>
      <c r="T104" s="12">
        <v>2.1052640214184098E-2</v>
      </c>
      <c r="U104" s="12">
        <v>6.6612353580006597E-2</v>
      </c>
      <c r="V104" s="12">
        <v>8.3661144660309605E-2</v>
      </c>
      <c r="W104" s="20">
        <v>0.88037309752035697</v>
      </c>
      <c r="X104" s="12">
        <v>0.48007080666004498</v>
      </c>
      <c r="Y104" s="12">
        <v>6.5684686019602506E-2</v>
      </c>
      <c r="Z104" s="12">
        <v>1.4172085455197801E-2</v>
      </c>
      <c r="AA104" s="12">
        <v>4.8616960622331298E-2</v>
      </c>
      <c r="AB104" s="12">
        <v>6.6612353580006597E-2</v>
      </c>
      <c r="AC104" s="20">
        <v>0.67515689233718301</v>
      </c>
      <c r="AD104" s="13">
        <v>-0.20521620518317396</v>
      </c>
      <c r="AE104" s="12">
        <v>0.55627440915514625</v>
      </c>
      <c r="AF104" s="12">
        <v>1.3039533588597154</v>
      </c>
      <c r="AG104" s="21" t="str">
        <f t="shared" si="0"/>
        <v/>
      </c>
    </row>
    <row r="105" spans="1:33" ht="15" x14ac:dyDescent="0.2">
      <c r="A105" s="16" t="s">
        <v>146</v>
      </c>
      <c r="B105" s="7" t="s">
        <v>27</v>
      </c>
      <c r="C105" s="8">
        <v>70.900000000000006</v>
      </c>
      <c r="D105" s="9">
        <v>75.997</v>
      </c>
      <c r="E105" s="10">
        <v>0.80500000000000005</v>
      </c>
      <c r="F105" s="41">
        <v>12116.214158842971</v>
      </c>
      <c r="G105" s="6" t="s">
        <v>45</v>
      </c>
      <c r="H105" s="7" t="s">
        <v>32</v>
      </c>
      <c r="I105" s="11">
        <v>31.527999999999899</v>
      </c>
      <c r="J105" s="12">
        <v>0.72196571004347598</v>
      </c>
      <c r="K105" s="12">
        <v>1.9673135500233498E-3</v>
      </c>
      <c r="L105" s="12">
        <v>0.35623178999416499</v>
      </c>
      <c r="M105" s="12">
        <v>0.41117194662969198</v>
      </c>
      <c r="N105" s="12">
        <v>7.0183455171667103E-2</v>
      </c>
      <c r="O105" s="12">
        <v>2.64920317782693</v>
      </c>
      <c r="P105" s="20">
        <v>4.2107233932159502</v>
      </c>
      <c r="Q105" s="12">
        <v>0.70831165278224095</v>
      </c>
      <c r="R105" s="12">
        <v>0.133881272267589</v>
      </c>
      <c r="S105" s="12">
        <v>0.36009474466407199</v>
      </c>
      <c r="T105" s="12">
        <v>0.43248018016163098</v>
      </c>
      <c r="U105" s="12">
        <v>7.0183455171667103E-2</v>
      </c>
      <c r="V105" s="12">
        <v>2.5545031330091001</v>
      </c>
      <c r="W105" s="20">
        <v>4.2594544380563004</v>
      </c>
      <c r="X105" s="12">
        <v>0.72196571004347598</v>
      </c>
      <c r="Y105" s="12">
        <v>1.6963766975081399E-2</v>
      </c>
      <c r="Z105" s="12">
        <v>0.572719425809462</v>
      </c>
      <c r="AA105" s="12">
        <v>0.77930137838852898</v>
      </c>
      <c r="AB105" s="12">
        <v>7.0183455171667103E-2</v>
      </c>
      <c r="AC105" s="20">
        <v>2.1611337363882202</v>
      </c>
      <c r="AD105" s="13">
        <v>-2.0983207016680803</v>
      </c>
      <c r="AE105" s="12">
        <v>2.691387898524745</v>
      </c>
      <c r="AF105" s="12">
        <v>1.9709351468340337</v>
      </c>
      <c r="AG105" s="19">
        <f t="shared" si="0"/>
        <v>135.61776071003024</v>
      </c>
    </row>
    <row r="106" spans="1:33" ht="15" x14ac:dyDescent="0.2">
      <c r="A106" s="16" t="s">
        <v>147</v>
      </c>
      <c r="B106" s="7" t="s">
        <v>27</v>
      </c>
      <c r="C106" s="8">
        <v>52.2</v>
      </c>
      <c r="D106" s="9">
        <v>58.893000000000001</v>
      </c>
      <c r="E106" s="10">
        <v>0.43099999999999999</v>
      </c>
      <c r="F106" s="41">
        <v>778.72597893769534</v>
      </c>
      <c r="G106" s="6" t="s">
        <v>34</v>
      </c>
      <c r="H106" s="7" t="s">
        <v>29</v>
      </c>
      <c r="I106" s="11">
        <v>19.077699218749999</v>
      </c>
      <c r="J106" s="12">
        <v>0.67191335473751002</v>
      </c>
      <c r="K106" s="12">
        <v>0.55331859854187204</v>
      </c>
      <c r="L106" s="12">
        <v>0.14403863206425099</v>
      </c>
      <c r="M106" s="12">
        <v>1.1621538803378399E-2</v>
      </c>
      <c r="N106" s="12">
        <v>9.7459728769720602E-2</v>
      </c>
      <c r="O106" s="12">
        <v>9.3360576040960694E-2</v>
      </c>
      <c r="P106" s="20">
        <v>1.57171242895769</v>
      </c>
      <c r="Q106" s="12">
        <v>0.68803259252118998</v>
      </c>
      <c r="R106" s="12">
        <v>0.476009490762902</v>
      </c>
      <c r="S106" s="12">
        <v>0.14343737371717899</v>
      </c>
      <c r="T106" s="12">
        <v>3.2710062077962801E-2</v>
      </c>
      <c r="U106" s="12">
        <v>9.7459728769720602E-2</v>
      </c>
      <c r="V106" s="12">
        <v>0.19138534869302701</v>
      </c>
      <c r="W106" s="20">
        <v>1.6290345965419799</v>
      </c>
      <c r="X106" s="12">
        <v>0.67191335473751002</v>
      </c>
      <c r="Y106" s="12">
        <v>0.55331859854187204</v>
      </c>
      <c r="Z106" s="12">
        <v>0.51435981917366402</v>
      </c>
      <c r="AA106" s="12">
        <v>3.8211167410878898E-2</v>
      </c>
      <c r="AB106" s="12">
        <v>9.7459728769720602E-2</v>
      </c>
      <c r="AC106" s="20">
        <v>1.87526266863365</v>
      </c>
      <c r="AD106" s="13">
        <v>0.24622807209167008</v>
      </c>
      <c r="AE106" s="12">
        <v>1.0293252488485178</v>
      </c>
      <c r="AF106" s="12">
        <v>0.86869675581443939</v>
      </c>
      <c r="AG106" s="19">
        <f t="shared" si="0"/>
        <v>354.60123066865111</v>
      </c>
    </row>
    <row r="107" spans="1:33" ht="15" x14ac:dyDescent="0.2">
      <c r="A107" s="16" t="s">
        <v>148</v>
      </c>
      <c r="B107" s="7" t="s">
        <v>38</v>
      </c>
      <c r="C107" s="8">
        <v>75.7</v>
      </c>
      <c r="D107" s="9">
        <v>82.448800000000006</v>
      </c>
      <c r="E107" s="10">
        <v>0.89400000000000002</v>
      </c>
      <c r="F107" s="41">
        <v>31603.559828414331</v>
      </c>
      <c r="G107" s="6" t="s">
        <v>47</v>
      </c>
      <c r="H107" s="7" t="s">
        <v>40</v>
      </c>
      <c r="I107" s="11">
        <v>0.43924798583984398</v>
      </c>
      <c r="J107" s="17"/>
      <c r="K107" s="17"/>
      <c r="L107" s="17"/>
      <c r="M107" s="17"/>
      <c r="N107" s="17"/>
      <c r="O107" s="17"/>
      <c r="P107" s="20">
        <v>1.3567568971149999</v>
      </c>
      <c r="Q107" s="17"/>
      <c r="R107" s="17"/>
      <c r="S107" s="17"/>
      <c r="T107" s="17"/>
      <c r="U107" s="17"/>
      <c r="V107" s="17"/>
      <c r="W107" s="20">
        <v>5.4512285802508504</v>
      </c>
      <c r="X107" s="17"/>
      <c r="Y107" s="17"/>
      <c r="Z107" s="17"/>
      <c r="AA107" s="17"/>
      <c r="AB107" s="17"/>
      <c r="AC107" s="20">
        <v>0.48537007274256</v>
      </c>
      <c r="AD107" s="13">
        <v>-4.9658585075082904</v>
      </c>
      <c r="AE107" s="12">
        <v>3.4444248310058914</v>
      </c>
      <c r="AF107" s="12">
        <v>11.231076834731381</v>
      </c>
      <c r="AG107" s="19">
        <f t="shared" si="0"/>
        <v>105.96834534298934</v>
      </c>
    </row>
    <row r="108" spans="1:33" ht="15" x14ac:dyDescent="0.2">
      <c r="A108" s="16" t="s">
        <v>149</v>
      </c>
      <c r="B108" s="7" t="s">
        <v>38</v>
      </c>
      <c r="C108" s="17" t="s">
        <v>103</v>
      </c>
      <c r="D108" s="22" t="s">
        <v>103</v>
      </c>
      <c r="E108" s="23" t="s">
        <v>103</v>
      </c>
      <c r="F108" s="42" t="s">
        <v>103</v>
      </c>
      <c r="G108" s="6" t="s">
        <v>39</v>
      </c>
      <c r="H108" s="6"/>
      <c r="I108" s="11">
        <v>0.37567300415038901</v>
      </c>
      <c r="J108" s="17"/>
      <c r="K108" s="17"/>
      <c r="L108" s="17"/>
      <c r="M108" s="17"/>
      <c r="N108" s="17"/>
      <c r="O108" s="17"/>
      <c r="P108" s="20">
        <v>2.0291807077124302</v>
      </c>
      <c r="Q108" s="17"/>
      <c r="R108" s="17"/>
      <c r="S108" s="17"/>
      <c r="T108" s="17"/>
      <c r="U108" s="17"/>
      <c r="V108" s="17"/>
      <c r="W108" s="20">
        <v>3.49389618229202</v>
      </c>
      <c r="X108" s="17"/>
      <c r="Y108" s="17"/>
      <c r="Z108" s="17"/>
      <c r="AA108" s="17"/>
      <c r="AB108" s="17"/>
      <c r="AC108" s="20">
        <v>0.40806528680721899</v>
      </c>
      <c r="AD108" s="13">
        <v>-3.0858308954848011</v>
      </c>
      <c r="AE108" s="12">
        <v>2.2076606383454074</v>
      </c>
      <c r="AF108" s="12">
        <v>8.5621009560233201</v>
      </c>
      <c r="AG108" s="19">
        <f t="shared" si="0"/>
        <v>165.33338216038467</v>
      </c>
    </row>
    <row r="109" spans="1:33" ht="15" x14ac:dyDescent="0.2">
      <c r="A109" s="16" t="s">
        <v>150</v>
      </c>
      <c r="B109" s="7" t="s">
        <v>56</v>
      </c>
      <c r="C109" s="8">
        <v>55.5</v>
      </c>
      <c r="D109" s="9">
        <v>64.703999999999994</v>
      </c>
      <c r="E109" s="10">
        <v>0.54200000000000004</v>
      </c>
      <c r="F109" s="41">
        <v>1703.8636616918193</v>
      </c>
      <c r="G109" s="6" t="s">
        <v>34</v>
      </c>
      <c r="H109" s="7" t="s">
        <v>36</v>
      </c>
      <c r="I109" s="11">
        <v>4.4033100585937692</v>
      </c>
      <c r="J109" s="12">
        <v>0.109650545621247</v>
      </c>
      <c r="K109" s="12">
        <v>1.43971386424286</v>
      </c>
      <c r="L109" s="12">
        <v>0.19079685638577401</v>
      </c>
      <c r="M109" s="12">
        <v>0.40613903354826603</v>
      </c>
      <c r="N109" s="12">
        <v>5.8063032410782797E-2</v>
      </c>
      <c r="O109" s="12">
        <v>0.27984231177072899</v>
      </c>
      <c r="P109" s="20">
        <v>2.48420564397966</v>
      </c>
      <c r="Q109" s="12">
        <v>0.45295272965686401</v>
      </c>
      <c r="R109" s="12">
        <v>1.30622971380842</v>
      </c>
      <c r="S109" s="12">
        <v>0.196751741353652</v>
      </c>
      <c r="T109" s="12">
        <v>7.9472204787621195E-2</v>
      </c>
      <c r="U109" s="12">
        <v>5.8063032410782797E-2</v>
      </c>
      <c r="V109" s="12">
        <v>0.42316580442930501</v>
      </c>
      <c r="W109" s="20">
        <v>2.5166352264466401</v>
      </c>
      <c r="X109" s="12">
        <v>0.109650545621247</v>
      </c>
      <c r="Y109" s="12">
        <v>2.5121450994261201</v>
      </c>
      <c r="Z109" s="12">
        <v>5.4254461586778997E-2</v>
      </c>
      <c r="AA109" s="12">
        <v>1.1868685951092599</v>
      </c>
      <c r="AB109" s="12">
        <v>5.8063032410782797E-2</v>
      </c>
      <c r="AC109" s="20">
        <v>3.9209817341541902</v>
      </c>
      <c r="AD109" s="13">
        <v>1.4043465077075501</v>
      </c>
      <c r="AE109" s="12">
        <v>1.5901664619167459</v>
      </c>
      <c r="AF109" s="12">
        <v>0.64183803880675638</v>
      </c>
      <c r="AG109" s="19">
        <f t="shared" si="0"/>
        <v>229.53571763803794</v>
      </c>
    </row>
    <row r="110" spans="1:33" ht="15" x14ac:dyDescent="0.2">
      <c r="A110" s="16" t="s">
        <v>151</v>
      </c>
      <c r="B110" s="7" t="s">
        <v>38</v>
      </c>
      <c r="C110" s="8">
        <v>66.7</v>
      </c>
      <c r="D110" s="9">
        <v>74.416300000000007</v>
      </c>
      <c r="E110" s="10">
        <v>0.80100000000000005</v>
      </c>
      <c r="F110" s="41">
        <v>10561.400120607126</v>
      </c>
      <c r="G110" s="6" t="s">
        <v>34</v>
      </c>
      <c r="H110" s="7" t="s">
        <v>32</v>
      </c>
      <c r="I110" s="11">
        <v>1.26718994140624</v>
      </c>
      <c r="J110" s="17"/>
      <c r="K110" s="17"/>
      <c r="L110" s="17"/>
      <c r="M110" s="17"/>
      <c r="N110" s="17"/>
      <c r="O110" s="17"/>
      <c r="P110" s="20">
        <v>1.7656710504598401</v>
      </c>
      <c r="Q110" s="17"/>
      <c r="R110" s="17"/>
      <c r="S110" s="17"/>
      <c r="T110" s="17"/>
      <c r="U110" s="17"/>
      <c r="V110" s="17"/>
      <c r="W110" s="20">
        <v>3.2200023031540601</v>
      </c>
      <c r="X110" s="17"/>
      <c r="Y110" s="17"/>
      <c r="Z110" s="17"/>
      <c r="AA110" s="17"/>
      <c r="AB110" s="17"/>
      <c r="AC110" s="20">
        <v>0.667019309545547</v>
      </c>
      <c r="AD110" s="13">
        <v>-2.5529829936085129</v>
      </c>
      <c r="AE110" s="12">
        <v>2.0345974720380604</v>
      </c>
      <c r="AF110" s="12">
        <v>4.8274499059823457</v>
      </c>
      <c r="AG110" s="19">
        <f t="shared" si="0"/>
        <v>179.39666445883213</v>
      </c>
    </row>
    <row r="111" spans="1:33" ht="15" x14ac:dyDescent="0.2">
      <c r="A111" s="16" t="s">
        <v>152</v>
      </c>
      <c r="B111" s="7" t="s">
        <v>27</v>
      </c>
      <c r="C111" s="8">
        <v>69.099999999999994</v>
      </c>
      <c r="D111" s="9">
        <v>74.992000000000004</v>
      </c>
      <c r="E111" s="10">
        <v>0.77600000000000002</v>
      </c>
      <c r="F111" s="41">
        <v>10381.088984158934</v>
      </c>
      <c r="G111" s="6" t="s">
        <v>71</v>
      </c>
      <c r="H111" s="7" t="s">
        <v>32</v>
      </c>
      <c r="I111" s="11">
        <v>126.191</v>
      </c>
      <c r="J111" s="12">
        <v>0.31697473646743102</v>
      </c>
      <c r="K111" s="12">
        <v>0.22865392526911801</v>
      </c>
      <c r="L111" s="12">
        <v>0.159127813704347</v>
      </c>
      <c r="M111" s="12">
        <v>7.9978607781946598E-2</v>
      </c>
      <c r="N111" s="12">
        <v>4.29640614334224E-2</v>
      </c>
      <c r="O111" s="12">
        <v>1.2246961184482099</v>
      </c>
      <c r="P111" s="20">
        <v>2.0523952631044802</v>
      </c>
      <c r="Q111" s="12">
        <v>0.52490999555377804</v>
      </c>
      <c r="R111" s="12">
        <v>0.22724887326579801</v>
      </c>
      <c r="S111" s="12">
        <v>0.27535378667076199</v>
      </c>
      <c r="T111" s="12">
        <v>8.2510798585162096E-2</v>
      </c>
      <c r="U111" s="12">
        <v>4.29640614334224E-2</v>
      </c>
      <c r="V111" s="12">
        <v>1.2294744575682599</v>
      </c>
      <c r="W111" s="20">
        <v>2.3824619730771799</v>
      </c>
      <c r="X111" s="12">
        <v>0.31697473646743102</v>
      </c>
      <c r="Y111" s="12">
        <v>0.22865392526911801</v>
      </c>
      <c r="Z111" s="12">
        <v>0.43333710861701402</v>
      </c>
      <c r="AA111" s="12">
        <v>0.13267390092565101</v>
      </c>
      <c r="AB111" s="12">
        <v>4.29640614334224E-2</v>
      </c>
      <c r="AC111" s="20">
        <v>1.1546037327126399</v>
      </c>
      <c r="AD111" s="13">
        <v>-1.2278582403645399</v>
      </c>
      <c r="AE111" s="12">
        <v>1.5053874659970139</v>
      </c>
      <c r="AF111" s="12">
        <v>2.0634455836027787</v>
      </c>
      <c r="AG111" s="19">
        <f t="shared" si="0"/>
        <v>242.46249437068451</v>
      </c>
    </row>
    <row r="112" spans="1:33" ht="15" x14ac:dyDescent="0.2">
      <c r="A112" s="16" t="s">
        <v>153</v>
      </c>
      <c r="B112" s="7" t="s">
        <v>27</v>
      </c>
      <c r="C112" s="8">
        <v>63.8</v>
      </c>
      <c r="D112" s="9">
        <v>69.688999999999993</v>
      </c>
      <c r="E112" s="10">
        <v>0.73499999999999999</v>
      </c>
      <c r="F112" s="41">
        <v>4210.843450411825</v>
      </c>
      <c r="G112" s="6" t="s">
        <v>45</v>
      </c>
      <c r="H112" s="7" t="s">
        <v>36</v>
      </c>
      <c r="I112" s="11">
        <v>3.17021997070312</v>
      </c>
      <c r="J112" s="12">
        <v>0.16747322931202399</v>
      </c>
      <c r="K112" s="12">
        <v>5.4423183094661001</v>
      </c>
      <c r="L112" s="12">
        <v>0.10684171485646</v>
      </c>
      <c r="M112" s="12">
        <v>1.2007319631611399E-5</v>
      </c>
      <c r="N112" s="12">
        <v>2.41003586822616E-2</v>
      </c>
      <c r="O112" s="12">
        <v>2.31809828331021</v>
      </c>
      <c r="P112" s="20">
        <v>8.0588439029466805</v>
      </c>
      <c r="Q112" s="12">
        <v>0.33384872536016602</v>
      </c>
      <c r="R112" s="12">
        <v>4.4413243537055198</v>
      </c>
      <c r="S112" s="12">
        <v>0.14928882026143001</v>
      </c>
      <c r="T112" s="12">
        <v>3.7684826872147401E-3</v>
      </c>
      <c r="U112" s="12">
        <v>2.41003586822616E-2</v>
      </c>
      <c r="V112" s="12">
        <v>2.3233848258792298</v>
      </c>
      <c r="W112" s="20">
        <v>7.27571556657582</v>
      </c>
      <c r="X112" s="12">
        <v>0.16747322931202399</v>
      </c>
      <c r="Y112" s="12">
        <v>7.2218146829546601</v>
      </c>
      <c r="Z112" s="12">
        <v>6.65015330416621</v>
      </c>
      <c r="AA112" s="12">
        <v>7.8883165455408993E-2</v>
      </c>
      <c r="AB112" s="12">
        <v>2.41003586822616E-2</v>
      </c>
      <c r="AC112" s="20">
        <v>14.142424740570601</v>
      </c>
      <c r="AD112" s="13">
        <v>6.8667091739947805</v>
      </c>
      <c r="AE112" s="12">
        <v>4.5972490406367497</v>
      </c>
      <c r="AF112" s="12">
        <v>0.51446026406658951</v>
      </c>
      <c r="AG112" s="19">
        <f t="shared" si="0"/>
        <v>79.395307231266514</v>
      </c>
    </row>
    <row r="113" spans="1:33" ht="15" x14ac:dyDescent="0.2">
      <c r="A113" s="16" t="s">
        <v>154</v>
      </c>
      <c r="B113" s="7" t="s">
        <v>27</v>
      </c>
      <c r="C113" s="8">
        <v>68.2</v>
      </c>
      <c r="D113" s="9">
        <v>76.77</v>
      </c>
      <c r="E113" s="10">
        <v>0.82599999999999996</v>
      </c>
      <c r="F113" s="41">
        <v>8179.748662821381</v>
      </c>
      <c r="G113" s="6" t="s">
        <v>31</v>
      </c>
      <c r="H113" s="7" t="s">
        <v>32</v>
      </c>
      <c r="I113" s="11">
        <v>0.62780902099609404</v>
      </c>
      <c r="J113" s="12">
        <v>6.3444586279356993E-2</v>
      </c>
      <c r="K113" s="12">
        <v>0.179040951590795</v>
      </c>
      <c r="L113" s="12">
        <v>0.80110457245228905</v>
      </c>
      <c r="M113" s="12">
        <v>1.5084802355874999E-2</v>
      </c>
      <c r="N113" s="12">
        <v>8.8512304687086707E-3</v>
      </c>
      <c r="O113" s="12">
        <v>1.3592454946169601</v>
      </c>
      <c r="P113" s="20">
        <v>2.4267716377639799</v>
      </c>
      <c r="Q113" s="12">
        <v>0.63454710477393805</v>
      </c>
      <c r="R113" s="12">
        <v>0.42258856247300403</v>
      </c>
      <c r="S113" s="12">
        <v>0.60000676286656296</v>
      </c>
      <c r="T113" s="12">
        <v>7.1576218022967694E-2</v>
      </c>
      <c r="U113" s="12">
        <v>8.8512304687086707E-3</v>
      </c>
      <c r="V113" s="12">
        <v>2.4912011513193</v>
      </c>
      <c r="W113" s="20">
        <v>4.2287710299244896</v>
      </c>
      <c r="X113" s="12">
        <v>6.3444586279356993E-2</v>
      </c>
      <c r="Y113" s="12">
        <v>0.18867928261676101</v>
      </c>
      <c r="Z113" s="12">
        <v>2.01032355343244</v>
      </c>
      <c r="AA113" s="12">
        <v>0.239746490479392</v>
      </c>
      <c r="AB113" s="12">
        <v>8.8512304687086707E-3</v>
      </c>
      <c r="AC113" s="20">
        <v>2.5110451432766601</v>
      </c>
      <c r="AD113" s="13">
        <v>-1.7177258866478295</v>
      </c>
      <c r="AE113" s="12">
        <v>2.6720002153055922</v>
      </c>
      <c r="AF113" s="12">
        <v>1.684068102577547</v>
      </c>
      <c r="AG113" s="19">
        <f t="shared" si="0"/>
        <v>136.60178540002684</v>
      </c>
    </row>
    <row r="114" spans="1:33" ht="15" x14ac:dyDescent="0.2">
      <c r="A114" s="16" t="s">
        <v>155</v>
      </c>
      <c r="B114" s="7" t="s">
        <v>56</v>
      </c>
      <c r="C114" s="8">
        <v>70.5</v>
      </c>
      <c r="D114" s="9">
        <v>76.453000000000003</v>
      </c>
      <c r="E114" s="10">
        <v>0.68</v>
      </c>
      <c r="F114" s="41">
        <v>3413.9069437141293</v>
      </c>
      <c r="G114" s="6" t="s">
        <v>34</v>
      </c>
      <c r="H114" s="7" t="s">
        <v>36</v>
      </c>
      <c r="I114" s="11">
        <v>36.029101562499903</v>
      </c>
      <c r="J114" s="12">
        <v>0.430324468372066</v>
      </c>
      <c r="K114" s="12">
        <v>0.15402693065093501</v>
      </c>
      <c r="L114" s="12">
        <v>7.5136458837464504E-2</v>
      </c>
      <c r="M114" s="12">
        <v>0.117583944332109</v>
      </c>
      <c r="N114" s="12">
        <v>4.93395044204996E-2</v>
      </c>
      <c r="O114" s="12">
        <v>0.61714829390820503</v>
      </c>
      <c r="P114" s="20">
        <v>1.4435596005212801</v>
      </c>
      <c r="Q114" s="12">
        <v>0.66285619087805303</v>
      </c>
      <c r="R114" s="12">
        <v>0.15814149646140499</v>
      </c>
      <c r="S114" s="12">
        <v>0.15049468469534399</v>
      </c>
      <c r="T114" s="12">
        <v>7.0982241712115104E-2</v>
      </c>
      <c r="U114" s="12">
        <v>4.93395044204996E-2</v>
      </c>
      <c r="V114" s="12">
        <v>0.66174007530036005</v>
      </c>
      <c r="W114" s="20">
        <v>1.7535541934677801</v>
      </c>
      <c r="X114" s="12">
        <v>0.430324468372066</v>
      </c>
      <c r="Y114" s="12">
        <v>0.15402693065093501</v>
      </c>
      <c r="Z114" s="12">
        <v>8.7786400974507905E-2</v>
      </c>
      <c r="AA114" s="12">
        <v>6.70761981983162E-2</v>
      </c>
      <c r="AB114" s="12">
        <v>4.93395044204996E-2</v>
      </c>
      <c r="AC114" s="20">
        <v>0.78855350261632495</v>
      </c>
      <c r="AD114" s="13">
        <v>-0.96500069085145512</v>
      </c>
      <c r="AE114" s="12">
        <v>1.1080044649709015</v>
      </c>
      <c r="AF114" s="12">
        <v>2.223760578895027</v>
      </c>
      <c r="AG114" s="19">
        <f t="shared" si="0"/>
        <v>329.42105518463381</v>
      </c>
    </row>
    <row r="115" spans="1:33" ht="15" x14ac:dyDescent="0.2">
      <c r="A115" s="16" t="s">
        <v>156</v>
      </c>
      <c r="B115" s="7" t="s">
        <v>27</v>
      </c>
      <c r="C115" s="8">
        <v>51.1</v>
      </c>
      <c r="D115" s="9">
        <v>60.162999999999997</v>
      </c>
      <c r="E115" s="10">
        <v>0.45200000000000001</v>
      </c>
      <c r="F115" s="41">
        <v>592.51084892867027</v>
      </c>
      <c r="G115" s="6" t="s">
        <v>34</v>
      </c>
      <c r="H115" s="7" t="s">
        <v>29</v>
      </c>
      <c r="I115" s="11">
        <v>29.495999999999899</v>
      </c>
      <c r="J115" s="12">
        <v>0.22676200783640099</v>
      </c>
      <c r="K115" s="12">
        <v>1.8636339486329E-2</v>
      </c>
      <c r="L115" s="12">
        <v>0.26051956041468999</v>
      </c>
      <c r="M115" s="12">
        <v>2.4397980148811001E-2</v>
      </c>
      <c r="N115" s="12">
        <v>5.1853037449138301E-2</v>
      </c>
      <c r="O115" s="12">
        <v>9.1207481122297804E-2</v>
      </c>
      <c r="P115" s="20">
        <v>0.67337640645766805</v>
      </c>
      <c r="Q115" s="12">
        <v>0.27917186445737102</v>
      </c>
      <c r="R115" s="12">
        <v>2.2895346575616898E-2</v>
      </c>
      <c r="S115" s="12">
        <v>0.24561678448295299</v>
      </c>
      <c r="T115" s="12">
        <v>3.2953112836503401E-2</v>
      </c>
      <c r="U115" s="12">
        <v>5.1853037449138301E-2</v>
      </c>
      <c r="V115" s="12">
        <v>0.16668275008571201</v>
      </c>
      <c r="W115" s="20">
        <v>0.79917289588729501</v>
      </c>
      <c r="X115" s="12">
        <v>0.22676200783640099</v>
      </c>
      <c r="Y115" s="12">
        <v>0.65921632086047499</v>
      </c>
      <c r="Z115" s="12">
        <v>0.488341753339465</v>
      </c>
      <c r="AA115" s="12">
        <v>0.14214192719246499</v>
      </c>
      <c r="AB115" s="12">
        <v>5.1853037449138301E-2</v>
      </c>
      <c r="AC115" s="20">
        <v>1.5683150466779401</v>
      </c>
      <c r="AD115" s="13">
        <v>0.76914215079064507</v>
      </c>
      <c r="AE115" s="12">
        <v>0.50496707784989159</v>
      </c>
      <c r="AF115" s="12">
        <v>0.50957420677696807</v>
      </c>
      <c r="AG115" s="21" t="str">
        <f t="shared" si="0"/>
        <v/>
      </c>
    </row>
    <row r="116" spans="1:33" ht="15" x14ac:dyDescent="0.2">
      <c r="A116" s="16" t="s">
        <v>157</v>
      </c>
      <c r="B116" s="7" t="s">
        <v>27</v>
      </c>
      <c r="C116" s="8">
        <v>64.900000000000006</v>
      </c>
      <c r="D116" s="9">
        <v>66.867000000000004</v>
      </c>
      <c r="E116" s="10">
        <v>0.57899999999999996</v>
      </c>
      <c r="F116" s="41">
        <v>1573.1497509877759</v>
      </c>
      <c r="G116" s="6" t="s">
        <v>45</v>
      </c>
      <c r="H116" s="7" t="s">
        <v>29</v>
      </c>
      <c r="I116" s="11">
        <v>53.708300781250003</v>
      </c>
      <c r="J116" s="12">
        <v>0.94782197042056804</v>
      </c>
      <c r="K116" s="12">
        <v>4.59633155801861E-3</v>
      </c>
      <c r="L116" s="12">
        <v>0.32518730750199598</v>
      </c>
      <c r="M116" s="12">
        <v>6.2148516886137699E-2</v>
      </c>
      <c r="N116" s="12">
        <v>0.120208668077518</v>
      </c>
      <c r="O116" s="12">
        <v>0.20274854077210699</v>
      </c>
      <c r="P116" s="20">
        <v>1.6627113352163501</v>
      </c>
      <c r="Q116" s="12">
        <v>0.84138692475177301</v>
      </c>
      <c r="R116" s="12">
        <v>9.1091252395460193E-3</v>
      </c>
      <c r="S116" s="12">
        <v>0.338093364419774</v>
      </c>
      <c r="T116" s="12">
        <v>4.5703129101422803E-2</v>
      </c>
      <c r="U116" s="12">
        <v>0.120208668077518</v>
      </c>
      <c r="V116" s="12">
        <v>0.303670266332488</v>
      </c>
      <c r="W116" s="20">
        <v>1.6581714779225201</v>
      </c>
      <c r="X116" s="12">
        <v>0.94782197042056804</v>
      </c>
      <c r="Y116" s="12">
        <v>4.59633155801861E-3</v>
      </c>
      <c r="Z116" s="12">
        <v>0.50957977786458897</v>
      </c>
      <c r="AA116" s="12">
        <v>0.28042970993050798</v>
      </c>
      <c r="AB116" s="12">
        <v>0.120208668077518</v>
      </c>
      <c r="AC116" s="20">
        <v>1.8626364578512</v>
      </c>
      <c r="AD116" s="13">
        <v>0.20446497992867996</v>
      </c>
      <c r="AE116" s="12">
        <v>1.0477357404006054</v>
      </c>
      <c r="AF116" s="12">
        <v>0.89022818754199751</v>
      </c>
      <c r="AG116" s="19">
        <f t="shared" si="0"/>
        <v>348.37028644306912</v>
      </c>
    </row>
    <row r="117" spans="1:33" ht="15" x14ac:dyDescent="0.2">
      <c r="A117" s="16" t="s">
        <v>158</v>
      </c>
      <c r="B117" s="7" t="s">
        <v>56</v>
      </c>
      <c r="C117" s="8">
        <v>61.8</v>
      </c>
      <c r="D117" s="9">
        <v>63.372999999999998</v>
      </c>
      <c r="E117" s="10">
        <v>0.64500000000000002</v>
      </c>
      <c r="F117" s="41">
        <v>5942.2863659883715</v>
      </c>
      <c r="G117" s="6" t="s">
        <v>34</v>
      </c>
      <c r="H117" s="7" t="s">
        <v>32</v>
      </c>
      <c r="I117" s="11">
        <v>2.4483000488281199</v>
      </c>
      <c r="J117" s="12">
        <v>0.12610893151660299</v>
      </c>
      <c r="K117" s="12">
        <v>1.2611209336840701</v>
      </c>
      <c r="L117" s="12">
        <v>0.24200789316028201</v>
      </c>
      <c r="M117" s="12">
        <v>2.1464146256745398</v>
      </c>
      <c r="N117" s="12">
        <v>1.9541279534170199E-2</v>
      </c>
      <c r="O117" s="12">
        <v>0.561778175526226</v>
      </c>
      <c r="P117" s="20">
        <v>4.3569718390958903</v>
      </c>
      <c r="Q117" s="12">
        <v>0.29543114201993997</v>
      </c>
      <c r="R117" s="12">
        <v>0.24557881194935699</v>
      </c>
      <c r="S117" s="12">
        <v>0.25542674226848999</v>
      </c>
      <c r="T117" s="12">
        <v>0.51177095594870803</v>
      </c>
      <c r="U117" s="12">
        <v>1.9541279534170199E-2</v>
      </c>
      <c r="V117" s="12">
        <v>1.1823036782705501</v>
      </c>
      <c r="W117" s="20">
        <v>2.5100526099912202</v>
      </c>
      <c r="X117" s="12">
        <v>0.12610893151660299</v>
      </c>
      <c r="Y117" s="12">
        <v>1.47701839703986</v>
      </c>
      <c r="Z117" s="12">
        <v>0.30702902417554201</v>
      </c>
      <c r="AA117" s="12">
        <v>4.3919277884075099</v>
      </c>
      <c r="AB117" s="12">
        <v>1.9541279534170199E-2</v>
      </c>
      <c r="AC117" s="20">
        <v>6.3216254206736897</v>
      </c>
      <c r="AD117" s="13">
        <v>3.8115728106824696</v>
      </c>
      <c r="AE117" s="12">
        <v>1.5860071559477797</v>
      </c>
      <c r="AF117" s="12">
        <v>0.39705810499030264</v>
      </c>
      <c r="AG117" s="19">
        <f t="shared" si="0"/>
        <v>230.13767537630068</v>
      </c>
    </row>
    <row r="118" spans="1:33" ht="15" x14ac:dyDescent="0.2">
      <c r="A118" s="16" t="s">
        <v>159</v>
      </c>
      <c r="B118" s="7" t="s">
        <v>27</v>
      </c>
      <c r="C118" s="8">
        <v>66.5</v>
      </c>
      <c r="D118" s="9">
        <v>70.477999999999994</v>
      </c>
      <c r="E118" s="10">
        <v>0.59599999999999997</v>
      </c>
      <c r="F118" s="41">
        <v>817.5521748421545</v>
      </c>
      <c r="G118" s="6" t="s">
        <v>45</v>
      </c>
      <c r="H118" s="7" t="s">
        <v>29</v>
      </c>
      <c r="I118" s="11">
        <v>28.0956992187499</v>
      </c>
      <c r="J118" s="12">
        <v>0.36848058403782802</v>
      </c>
      <c r="K118" s="12">
        <v>4.6871205060830798E-2</v>
      </c>
      <c r="L118" s="12">
        <v>0.191522682105948</v>
      </c>
      <c r="M118" s="12">
        <v>1.1380855526418399E-3</v>
      </c>
      <c r="N118" s="12">
        <v>0.10359726151260799</v>
      </c>
      <c r="O118" s="12">
        <v>0.16126964418833201</v>
      </c>
      <c r="P118" s="20">
        <v>0.87287946245818804</v>
      </c>
      <c r="Q118" s="12">
        <v>0.47625963536361698</v>
      </c>
      <c r="R118" s="12">
        <v>5.9520523289644703E-2</v>
      </c>
      <c r="S118" s="12">
        <v>0.19975737057224799</v>
      </c>
      <c r="T118" s="12">
        <v>4.0842822702887201E-3</v>
      </c>
      <c r="U118" s="12">
        <v>0.10359726151260799</v>
      </c>
      <c r="V118" s="12">
        <v>0.34622297843762201</v>
      </c>
      <c r="W118" s="20">
        <v>1.18944205144603</v>
      </c>
      <c r="X118" s="12">
        <v>0.36848058403782902</v>
      </c>
      <c r="Y118" s="12">
        <v>4.6871205060830798E-2</v>
      </c>
      <c r="Z118" s="12">
        <v>9.38443741371882E-2</v>
      </c>
      <c r="AA118" s="12">
        <v>4.96872816002454E-3</v>
      </c>
      <c r="AB118" s="12">
        <v>0.10359726151260799</v>
      </c>
      <c r="AC118" s="20">
        <v>0.61776215290848002</v>
      </c>
      <c r="AD118" s="13">
        <v>-0.57167989853754997</v>
      </c>
      <c r="AE118" s="12">
        <v>0.75156337268373408</v>
      </c>
      <c r="AF118" s="12">
        <v>1.9254045361083216</v>
      </c>
      <c r="AG118" s="21" t="str">
        <f t="shared" si="0"/>
        <v/>
      </c>
    </row>
    <row r="119" spans="1:33" ht="15" x14ac:dyDescent="0.2">
      <c r="A119" s="16" t="s">
        <v>160</v>
      </c>
      <c r="B119" s="7" t="s">
        <v>27</v>
      </c>
      <c r="C119" s="8">
        <v>81.599999999999994</v>
      </c>
      <c r="D119" s="9">
        <v>81.812200000000004</v>
      </c>
      <c r="E119" s="10">
        <v>0.94199999999999995</v>
      </c>
      <c r="F119" s="41">
        <v>55369.233009826712</v>
      </c>
      <c r="G119" s="6" t="s">
        <v>47</v>
      </c>
      <c r="H119" s="7" t="s">
        <v>40</v>
      </c>
      <c r="I119" s="11">
        <v>17.085300781249899</v>
      </c>
      <c r="J119" s="12">
        <v>0.175777386583018</v>
      </c>
      <c r="K119" s="12">
        <v>4.2455147917062501E-2</v>
      </c>
      <c r="L119" s="12">
        <v>8.3622665699507798E-2</v>
      </c>
      <c r="M119" s="12">
        <v>0.14151198956893801</v>
      </c>
      <c r="N119" s="12">
        <v>6.9512542567257002E-2</v>
      </c>
      <c r="O119" s="12">
        <v>3.1062384754927299</v>
      </c>
      <c r="P119" s="20">
        <v>3.6191182078285098</v>
      </c>
      <c r="Q119" s="12">
        <v>1.0442699917149301</v>
      </c>
      <c r="R119" s="12">
        <v>0.58003065560320999</v>
      </c>
      <c r="S119" s="12">
        <v>0.34189220606602699</v>
      </c>
      <c r="T119" s="12">
        <v>2.1692342615443798E-3</v>
      </c>
      <c r="U119" s="12">
        <v>6.9512542567257002E-2</v>
      </c>
      <c r="V119" s="12">
        <v>3.6536931523410199</v>
      </c>
      <c r="W119" s="20">
        <v>5.6915677825539897</v>
      </c>
      <c r="X119" s="12">
        <v>0.175777386583018</v>
      </c>
      <c r="Y119" s="12">
        <v>4.2455147917062501E-2</v>
      </c>
      <c r="Z119" s="12">
        <v>7.4609308718879899E-2</v>
      </c>
      <c r="AA119" s="12">
        <v>0.41728881861689099</v>
      </c>
      <c r="AB119" s="12">
        <v>6.9512542567257002E-2</v>
      </c>
      <c r="AC119" s="20">
        <v>0.77964320440310897</v>
      </c>
      <c r="AD119" s="13">
        <v>-4.9119245781508809</v>
      </c>
      <c r="AE119" s="12">
        <v>3.5962860681729056</v>
      </c>
      <c r="AF119" s="12">
        <v>7.3002211144922713</v>
      </c>
      <c r="AG119" s="19">
        <f t="shared" si="0"/>
        <v>101.49359452526488</v>
      </c>
    </row>
    <row r="120" spans="1:33" ht="15" x14ac:dyDescent="0.2">
      <c r="A120" s="16" t="s">
        <v>161</v>
      </c>
      <c r="B120" s="7" t="s">
        <v>38</v>
      </c>
      <c r="C120" s="8">
        <v>79.099999999999994</v>
      </c>
      <c r="D120" s="9">
        <v>81.858500000000006</v>
      </c>
      <c r="E120" s="10">
        <v>0.92800000000000005</v>
      </c>
      <c r="F120" s="41">
        <v>39214.612417425371</v>
      </c>
      <c r="G120" s="6" t="s">
        <v>45</v>
      </c>
      <c r="H120" s="7" t="s">
        <v>40</v>
      </c>
      <c r="I120" s="11">
        <v>4.7431298828124895</v>
      </c>
      <c r="J120" s="17"/>
      <c r="K120" s="17"/>
      <c r="L120" s="17"/>
      <c r="M120" s="17"/>
      <c r="N120" s="17"/>
      <c r="O120" s="17"/>
      <c r="P120" s="20">
        <v>12.055943103644401</v>
      </c>
      <c r="Q120" s="17"/>
      <c r="R120" s="17"/>
      <c r="S120" s="17"/>
      <c r="T120" s="17"/>
      <c r="U120" s="17"/>
      <c r="V120" s="17"/>
      <c r="W120" s="20">
        <v>5.3002445427201899</v>
      </c>
      <c r="X120" s="17"/>
      <c r="Y120" s="17"/>
      <c r="Z120" s="17"/>
      <c r="AA120" s="17"/>
      <c r="AB120" s="17"/>
      <c r="AC120" s="20">
        <v>8.8355973671202701</v>
      </c>
      <c r="AD120" s="13">
        <v>3.5353528244000803</v>
      </c>
      <c r="AE120" s="12">
        <v>3.3490237374175171</v>
      </c>
      <c r="AF120" s="12">
        <v>0.59987393296619451</v>
      </c>
      <c r="AG120" s="19">
        <f t="shared" si="0"/>
        <v>108.98698504939742</v>
      </c>
    </row>
    <row r="121" spans="1:33" ht="15" x14ac:dyDescent="0.2">
      <c r="A121" s="16" t="s">
        <v>162</v>
      </c>
      <c r="B121" s="7" t="s">
        <v>27</v>
      </c>
      <c r="C121" s="8">
        <v>66.3</v>
      </c>
      <c r="D121" s="9">
        <v>74.275000000000006</v>
      </c>
      <c r="E121" s="10">
        <v>0.65900000000000003</v>
      </c>
      <c r="F121" s="41">
        <v>1857.0566854845031</v>
      </c>
      <c r="G121" s="6" t="s">
        <v>39</v>
      </c>
      <c r="H121" s="7" t="s">
        <v>36</v>
      </c>
      <c r="I121" s="11">
        <v>6.4654999999999703</v>
      </c>
      <c r="J121" s="12">
        <v>0.37983296440853898</v>
      </c>
      <c r="K121" s="12">
        <v>0.54210093698483397</v>
      </c>
      <c r="L121" s="12">
        <v>0.37415762651942802</v>
      </c>
      <c r="M121" s="12">
        <v>9.2439720427817507E-2</v>
      </c>
      <c r="N121" s="12">
        <v>4.8174065042755398E-2</v>
      </c>
      <c r="O121" s="12">
        <v>0.26723535053991399</v>
      </c>
      <c r="P121" s="20">
        <v>1.7039406639232899</v>
      </c>
      <c r="Q121" s="12">
        <v>0.29292805737377497</v>
      </c>
      <c r="R121" s="12">
        <v>0.19929591048242901</v>
      </c>
      <c r="S121" s="12">
        <v>0.398710839058532</v>
      </c>
      <c r="T121" s="12">
        <v>2.61389717393259E-2</v>
      </c>
      <c r="U121" s="12">
        <v>4.8174065042755398E-2</v>
      </c>
      <c r="V121" s="12">
        <v>0.46221562144487899</v>
      </c>
      <c r="W121" s="20">
        <v>1.4274634651417</v>
      </c>
      <c r="X121" s="12">
        <v>0.37983296440853898</v>
      </c>
      <c r="Y121" s="12">
        <v>0.54210093698483397</v>
      </c>
      <c r="Z121" s="12">
        <v>0.77110192506293196</v>
      </c>
      <c r="AA121" s="12">
        <v>0.45235961475533198</v>
      </c>
      <c r="AB121" s="12">
        <v>4.8174065042755398E-2</v>
      </c>
      <c r="AC121" s="20">
        <v>2.1935695062543901</v>
      </c>
      <c r="AD121" s="13">
        <v>0.76610604111269009</v>
      </c>
      <c r="AE121" s="12">
        <v>0.9019600870344584</v>
      </c>
      <c r="AF121" s="12">
        <v>0.65074913791045186</v>
      </c>
      <c r="AG121" s="21" t="str">
        <f t="shared" si="0"/>
        <v/>
      </c>
    </row>
    <row r="122" spans="1:33" ht="15" x14ac:dyDescent="0.2">
      <c r="A122" s="16" t="s">
        <v>163</v>
      </c>
      <c r="B122" s="7" t="s">
        <v>27</v>
      </c>
      <c r="C122" s="8">
        <v>49.5</v>
      </c>
      <c r="D122" s="9">
        <v>62.024000000000001</v>
      </c>
      <c r="E122" s="10">
        <v>0.39100000000000001</v>
      </c>
      <c r="F122" s="41">
        <v>552.32411145208209</v>
      </c>
      <c r="G122" s="6" t="s">
        <v>34</v>
      </c>
      <c r="H122" s="7" t="s">
        <v>29</v>
      </c>
      <c r="I122" s="11">
        <v>22.44280078125</v>
      </c>
      <c r="J122" s="12">
        <v>0.82999636462612503</v>
      </c>
      <c r="K122" s="12">
        <v>0.39335215559817299</v>
      </c>
      <c r="L122" s="12">
        <v>0.217472322162512</v>
      </c>
      <c r="M122" s="12">
        <v>5.0273866559348698E-3</v>
      </c>
      <c r="N122" s="12">
        <v>4.1239425274486298E-2</v>
      </c>
      <c r="O122" s="12">
        <v>2.8502173371904901E-2</v>
      </c>
      <c r="P122" s="20">
        <v>1.51558982768914</v>
      </c>
      <c r="Q122" s="12">
        <v>0.82032144118731698</v>
      </c>
      <c r="R122" s="12">
        <v>0.388201498787552</v>
      </c>
      <c r="S122" s="12">
        <v>0.21826780099326301</v>
      </c>
      <c r="T122" s="12">
        <v>7.4062916478141701E-3</v>
      </c>
      <c r="U122" s="12">
        <v>4.1239425274486298E-2</v>
      </c>
      <c r="V122" s="12">
        <v>6.7933192229579706E-2</v>
      </c>
      <c r="W122" s="20">
        <v>1.54336965012001</v>
      </c>
      <c r="X122" s="12">
        <v>0.82999636462612503</v>
      </c>
      <c r="Y122" s="12">
        <v>0.39335215559817299</v>
      </c>
      <c r="Z122" s="12">
        <v>3.6322557474554297E-2</v>
      </c>
      <c r="AA122" s="12">
        <v>4.8722605910516499E-4</v>
      </c>
      <c r="AB122" s="12">
        <v>4.1239425274486298E-2</v>
      </c>
      <c r="AC122" s="20">
        <v>1.3013977290324401</v>
      </c>
      <c r="AD122" s="13">
        <v>-0.24197192108756993</v>
      </c>
      <c r="AE122" s="12">
        <v>0.97519681444904827</v>
      </c>
      <c r="AF122" s="12">
        <v>1.1859323369708588</v>
      </c>
      <c r="AG122" s="21" t="str">
        <f t="shared" si="0"/>
        <v/>
      </c>
    </row>
    <row r="123" spans="1:33" ht="15" x14ac:dyDescent="0.2">
      <c r="A123" s="16" t="s">
        <v>164</v>
      </c>
      <c r="B123" s="7" t="s">
        <v>27</v>
      </c>
      <c r="C123" s="8">
        <v>48.9</v>
      </c>
      <c r="D123" s="9">
        <v>54.332000000000001</v>
      </c>
      <c r="E123" s="10">
        <v>0.53400000000000003</v>
      </c>
      <c r="F123" s="41">
        <v>2384.1735800893425</v>
      </c>
      <c r="G123" s="6" t="s">
        <v>34</v>
      </c>
      <c r="H123" s="7" t="s">
        <v>36</v>
      </c>
      <c r="I123" s="11">
        <v>195.875</v>
      </c>
      <c r="J123" s="12">
        <v>0.48271493316408698</v>
      </c>
      <c r="K123" s="12">
        <v>8.98655181949677E-2</v>
      </c>
      <c r="L123" s="12">
        <v>0.16299156327764699</v>
      </c>
      <c r="M123" s="12">
        <v>2.1241884404765699E-2</v>
      </c>
      <c r="N123" s="12">
        <v>5.5327829567590102E-2</v>
      </c>
      <c r="O123" s="12">
        <v>0.165229471314388</v>
      </c>
      <c r="P123" s="20">
        <v>0.97737119992344501</v>
      </c>
      <c r="Q123" s="12">
        <v>0.50899083044209104</v>
      </c>
      <c r="R123" s="12">
        <v>9.5732683172759403E-2</v>
      </c>
      <c r="S123" s="12">
        <v>0.16797145636146901</v>
      </c>
      <c r="T123" s="12">
        <v>3.9811585155940202E-2</v>
      </c>
      <c r="U123" s="12">
        <v>5.5327829567590102E-2</v>
      </c>
      <c r="V123" s="12">
        <v>0.21988707944227501</v>
      </c>
      <c r="W123" s="20">
        <v>1.08772146414212</v>
      </c>
      <c r="X123" s="12">
        <v>0.48271493316408698</v>
      </c>
      <c r="Y123" s="12">
        <v>9.6380984209992498E-2</v>
      </c>
      <c r="Z123" s="12">
        <v>3.7174141005411901E-2</v>
      </c>
      <c r="AA123" s="12">
        <v>1.59920586886323E-2</v>
      </c>
      <c r="AB123" s="12">
        <v>5.5327829567590102E-2</v>
      </c>
      <c r="AC123" s="20">
        <v>0.68758994663571305</v>
      </c>
      <c r="AD123" s="13">
        <v>-0.40013151750640696</v>
      </c>
      <c r="AE123" s="12">
        <v>0.68728998704669897</v>
      </c>
      <c r="AF123" s="12">
        <v>1.5819333448143007</v>
      </c>
      <c r="AG123" s="21" t="str">
        <f t="shared" si="0"/>
        <v/>
      </c>
    </row>
    <row r="124" spans="1:33" ht="15" x14ac:dyDescent="0.2">
      <c r="A124" s="16" t="s">
        <v>165</v>
      </c>
      <c r="B124" s="7" t="s">
        <v>27</v>
      </c>
      <c r="C124" s="8">
        <v>82</v>
      </c>
      <c r="D124" s="9">
        <v>82.758499999999998</v>
      </c>
      <c r="E124" s="10">
        <v>0.95599999999999996</v>
      </c>
      <c r="F124" s="41">
        <v>91608.030704321252</v>
      </c>
      <c r="G124" s="6" t="s">
        <v>31</v>
      </c>
      <c r="H124" s="7" t="s">
        <v>40</v>
      </c>
      <c r="I124" s="11">
        <v>5.3379599609374999</v>
      </c>
      <c r="J124" s="12">
        <v>0.15560258768448401</v>
      </c>
      <c r="K124" s="12">
        <v>0.31724967838061602</v>
      </c>
      <c r="L124" s="12">
        <v>1.52845679793706</v>
      </c>
      <c r="M124" s="12">
        <v>5.5187310374921497</v>
      </c>
      <c r="N124" s="12">
        <v>2.73746142005462E-2</v>
      </c>
      <c r="O124" s="12">
        <v>2.7830499658816299</v>
      </c>
      <c r="P124" s="20">
        <v>10.330464681576499</v>
      </c>
      <c r="Q124" s="12">
        <v>0.82931364770444904</v>
      </c>
      <c r="R124" s="12">
        <v>0.27692904023988502</v>
      </c>
      <c r="S124" s="12">
        <v>0.88570924850483501</v>
      </c>
      <c r="T124" s="12">
        <v>1.1517115177619299</v>
      </c>
      <c r="U124" s="12">
        <v>2.73746142005462E-2</v>
      </c>
      <c r="V124" s="12">
        <v>2.4978648423053</v>
      </c>
      <c r="W124" s="20">
        <v>5.6689029107169402</v>
      </c>
      <c r="X124" s="12">
        <v>0.15560258768448401</v>
      </c>
      <c r="Y124" s="12">
        <v>0.57495202979756899</v>
      </c>
      <c r="Z124" s="12">
        <v>3.29811853656122</v>
      </c>
      <c r="AA124" s="12">
        <v>2.8524401322904298</v>
      </c>
      <c r="AB124" s="12">
        <v>2.73746142005462E-2</v>
      </c>
      <c r="AC124" s="20">
        <v>6.9084879005342499</v>
      </c>
      <c r="AD124" s="13">
        <v>1.2395849898173097</v>
      </c>
      <c r="AE124" s="12">
        <v>3.5819649942722571</v>
      </c>
      <c r="AF124" s="12">
        <v>0.82057072290429145</v>
      </c>
      <c r="AG124" s="19">
        <f t="shared" si="0"/>
        <v>101.89937662251123</v>
      </c>
    </row>
    <row r="125" spans="1:33" ht="15" x14ac:dyDescent="0.2">
      <c r="A125" s="16" t="s">
        <v>166</v>
      </c>
      <c r="B125" s="7" t="s">
        <v>27</v>
      </c>
      <c r="C125" s="8">
        <v>70.099999999999994</v>
      </c>
      <c r="D125" s="9">
        <v>77.632999999999996</v>
      </c>
      <c r="E125" s="10">
        <v>0.81299999999999994</v>
      </c>
      <c r="F125" s="41">
        <v>15796.763745538165</v>
      </c>
      <c r="G125" s="6" t="s">
        <v>28</v>
      </c>
      <c r="H125" s="7" t="s">
        <v>40</v>
      </c>
      <c r="I125" s="11">
        <v>4.8294702148437398</v>
      </c>
      <c r="J125" s="12">
        <v>6.5040090411434104E-2</v>
      </c>
      <c r="K125" s="12">
        <v>2.9494995074686801E-2</v>
      </c>
      <c r="L125" s="12">
        <v>3.8173738781894701E-3</v>
      </c>
      <c r="M125" s="12">
        <v>0.77810199347070297</v>
      </c>
      <c r="N125" s="12">
        <v>0.22554403190575101</v>
      </c>
      <c r="O125" s="12">
        <v>5.4051121921850802</v>
      </c>
      <c r="P125" s="20">
        <v>6.5071106769258504</v>
      </c>
      <c r="Q125" s="12">
        <v>0.54472970064804205</v>
      </c>
      <c r="R125" s="12">
        <v>0.31393590239056801</v>
      </c>
      <c r="S125" s="12">
        <v>0.133358857858456</v>
      </c>
      <c r="T125" s="12">
        <v>0.42785316654760902</v>
      </c>
      <c r="U125" s="12">
        <v>0.22554403190575101</v>
      </c>
      <c r="V125" s="12">
        <v>4.6429964951135601</v>
      </c>
      <c r="W125" s="20">
        <v>6.2884181544639901</v>
      </c>
      <c r="X125" s="12">
        <v>6.5040090411434104E-2</v>
      </c>
      <c r="Y125" s="12">
        <v>2.9494995074686801E-2</v>
      </c>
      <c r="Z125" s="12">
        <v>9.9262816201518898E-4</v>
      </c>
      <c r="AA125" s="12">
        <v>1.1059153258944101</v>
      </c>
      <c r="AB125" s="12">
        <v>0.22554403190575101</v>
      </c>
      <c r="AC125" s="20">
        <v>1.4269870714482999</v>
      </c>
      <c r="AD125" s="13">
        <v>-4.8614310830156899</v>
      </c>
      <c r="AE125" s="12">
        <v>3.973413207704322</v>
      </c>
      <c r="AF125" s="12">
        <v>4.4067800474755883</v>
      </c>
      <c r="AG125" s="19">
        <f t="shared" si="0"/>
        <v>91.86056947016651</v>
      </c>
    </row>
    <row r="126" spans="1:33" ht="15" x14ac:dyDescent="0.2">
      <c r="A126" s="16" t="s">
        <v>167</v>
      </c>
      <c r="B126" s="7" t="s">
        <v>27</v>
      </c>
      <c r="C126" s="8">
        <v>57.7</v>
      </c>
      <c r="D126" s="9">
        <v>67.114000000000004</v>
      </c>
      <c r="E126" s="10">
        <v>0.55200000000000005</v>
      </c>
      <c r="F126" s="41">
        <v>1196.8260549974614</v>
      </c>
      <c r="G126" s="6" t="s">
        <v>45</v>
      </c>
      <c r="H126" s="7" t="s">
        <v>36</v>
      </c>
      <c r="I126" s="11">
        <v>212.22799999999899</v>
      </c>
      <c r="J126" s="12">
        <v>0.244267540716012</v>
      </c>
      <c r="K126" s="12">
        <v>3.2767591508920898E-3</v>
      </c>
      <c r="L126" s="12">
        <v>6.5759377380739198E-2</v>
      </c>
      <c r="M126" s="12">
        <v>2.0696411116271501E-2</v>
      </c>
      <c r="N126" s="12">
        <v>3.75595296148876E-2</v>
      </c>
      <c r="O126" s="12">
        <v>0.308425197143191</v>
      </c>
      <c r="P126" s="20">
        <v>0.67998481512199405</v>
      </c>
      <c r="Q126" s="12">
        <v>0.255168458908485</v>
      </c>
      <c r="R126" s="12">
        <v>4.5018948666506299E-3</v>
      </c>
      <c r="S126" s="12">
        <v>7.8533247770232198E-2</v>
      </c>
      <c r="T126" s="12">
        <v>1.1647569048197699E-2</v>
      </c>
      <c r="U126" s="12">
        <v>3.75595296148876E-2</v>
      </c>
      <c r="V126" s="12">
        <v>0.38362376869155801</v>
      </c>
      <c r="W126" s="20">
        <v>0.77103446890001104</v>
      </c>
      <c r="X126" s="12">
        <v>0.244267540716012</v>
      </c>
      <c r="Y126" s="12">
        <v>3.2767591508920898E-3</v>
      </c>
      <c r="Z126" s="12">
        <v>1.88485499659512E-2</v>
      </c>
      <c r="AA126" s="12">
        <v>3.0168358948198699E-2</v>
      </c>
      <c r="AB126" s="12">
        <v>3.75595296148876E-2</v>
      </c>
      <c r="AC126" s="20">
        <v>0.33412073839594197</v>
      </c>
      <c r="AD126" s="13">
        <v>-0.43691373050406906</v>
      </c>
      <c r="AE126" s="12">
        <v>0.48718747180446181</v>
      </c>
      <c r="AF126" s="12">
        <v>2.3076522355410178</v>
      </c>
      <c r="AG126" s="21" t="str">
        <f t="shared" si="0"/>
        <v/>
      </c>
    </row>
    <row r="127" spans="1:33" ht="15" x14ac:dyDescent="0.2">
      <c r="A127" s="16" t="s">
        <v>168</v>
      </c>
      <c r="B127" s="7" t="s">
        <v>27</v>
      </c>
      <c r="C127" s="8">
        <v>68</v>
      </c>
      <c r="D127" s="9">
        <v>78.328999999999994</v>
      </c>
      <c r="E127" s="10">
        <v>0.81200000000000006</v>
      </c>
      <c r="F127" s="41">
        <v>11755.117737072769</v>
      </c>
      <c r="G127" s="6" t="s">
        <v>39</v>
      </c>
      <c r="H127" s="7" t="s">
        <v>32</v>
      </c>
      <c r="I127" s="11">
        <v>4.1768701171874998</v>
      </c>
      <c r="J127" s="12">
        <v>0.141205161392816</v>
      </c>
      <c r="K127" s="12">
        <v>0.39272496845558302</v>
      </c>
      <c r="L127" s="12">
        <v>0.158364086126834</v>
      </c>
      <c r="M127" s="12">
        <v>0.64230359045660002</v>
      </c>
      <c r="N127" s="12">
        <v>2.7534418000412501E-2</v>
      </c>
      <c r="O127" s="12">
        <v>0.813337721037376</v>
      </c>
      <c r="P127" s="20">
        <v>2.17546994546962</v>
      </c>
      <c r="Q127" s="12">
        <v>0.434266816619027</v>
      </c>
      <c r="R127" s="12">
        <v>0.402243562890444</v>
      </c>
      <c r="S127" s="12">
        <v>0.190293114072385</v>
      </c>
      <c r="T127" s="12">
        <v>0.435555575551962</v>
      </c>
      <c r="U127" s="12">
        <v>2.7534418000412501E-2</v>
      </c>
      <c r="V127" s="12">
        <v>1.4331886553725499</v>
      </c>
      <c r="W127" s="20">
        <v>2.9230821425067801</v>
      </c>
      <c r="X127" s="12">
        <v>0.141205161392816</v>
      </c>
      <c r="Y127" s="12">
        <v>0.39272496845558302</v>
      </c>
      <c r="Z127" s="12">
        <v>1.4017727681160801</v>
      </c>
      <c r="AA127" s="12">
        <v>0.55061471272645002</v>
      </c>
      <c r="AB127" s="12">
        <v>2.7534418000412501E-2</v>
      </c>
      <c r="AC127" s="20">
        <v>2.5138520286913399</v>
      </c>
      <c r="AD127" s="13">
        <v>-0.40923011381544017</v>
      </c>
      <c r="AE127" s="12">
        <v>1.8469848707494372</v>
      </c>
      <c r="AF127" s="12">
        <v>1.162790056512784</v>
      </c>
      <c r="AG127" s="19">
        <f t="shared" si="0"/>
        <v>197.61937727832967</v>
      </c>
    </row>
    <row r="128" spans="1:33" ht="15" x14ac:dyDescent="0.2">
      <c r="A128" s="16" t="s">
        <v>169</v>
      </c>
      <c r="B128" s="7" t="s">
        <v>56</v>
      </c>
      <c r="C128" s="8">
        <v>51.3</v>
      </c>
      <c r="D128" s="9">
        <v>64.263000000000005</v>
      </c>
      <c r="E128" s="10">
        <v>0.54900000000000004</v>
      </c>
      <c r="F128" s="41">
        <v>2397.6565187829719</v>
      </c>
      <c r="G128" s="6" t="s">
        <v>45</v>
      </c>
      <c r="H128" s="7" t="s">
        <v>36</v>
      </c>
      <c r="I128" s="11">
        <v>8.6063203125000296</v>
      </c>
      <c r="J128" s="12">
        <v>0.34302855797180298</v>
      </c>
      <c r="K128" s="12">
        <v>1.53971001729794E-4</v>
      </c>
      <c r="L128" s="12">
        <v>0.57080984275329805</v>
      </c>
      <c r="M128" s="12">
        <v>0.99720505298294704</v>
      </c>
      <c r="N128" s="12">
        <v>0.140351168772164</v>
      </c>
      <c r="O128" s="12">
        <v>0.21826187751544801</v>
      </c>
      <c r="P128" s="20">
        <v>2.2698104709973901</v>
      </c>
      <c r="Q128" s="12">
        <v>0.27784542521419697</v>
      </c>
      <c r="R128" s="12">
        <v>2.3722779094453299E-2</v>
      </c>
      <c r="S128" s="12">
        <v>0.26878758971406602</v>
      </c>
      <c r="T128" s="12">
        <v>0.79304724442201102</v>
      </c>
      <c r="U128" s="12">
        <v>0.140351168772164</v>
      </c>
      <c r="V128" s="12">
        <v>0.218426180361841</v>
      </c>
      <c r="W128" s="20">
        <v>1.72218038757873</v>
      </c>
      <c r="X128" s="12">
        <v>0.34302855797180298</v>
      </c>
      <c r="Y128" s="12">
        <v>3.1125474081324201E-2</v>
      </c>
      <c r="Z128" s="12">
        <v>2.3073679696965499</v>
      </c>
      <c r="AA128" s="12">
        <v>0.60442078350012896</v>
      </c>
      <c r="AB128" s="12">
        <v>0.140351168772164</v>
      </c>
      <c r="AC128" s="20">
        <v>3.4262939540219701</v>
      </c>
      <c r="AD128" s="13">
        <v>1.7041135664432401</v>
      </c>
      <c r="AE128" s="12">
        <v>1.0881805455632825</v>
      </c>
      <c r="AF128" s="12">
        <v>0.50263649607680072</v>
      </c>
      <c r="AG128" s="19">
        <f t="shared" si="0"/>
        <v>335.42228032671039</v>
      </c>
    </row>
    <row r="129" spans="1:33" ht="15" x14ac:dyDescent="0.2">
      <c r="A129" s="16" t="s">
        <v>170</v>
      </c>
      <c r="B129" s="7" t="s">
        <v>27</v>
      </c>
      <c r="C129" s="8">
        <v>66.900000000000006</v>
      </c>
      <c r="D129" s="9">
        <v>74.131</v>
      </c>
      <c r="E129" s="10">
        <v>0.72699999999999998</v>
      </c>
      <c r="F129" s="41">
        <v>5379.5894730258551</v>
      </c>
      <c r="G129" s="6" t="s">
        <v>42</v>
      </c>
      <c r="H129" s="7" t="s">
        <v>36</v>
      </c>
      <c r="I129" s="11">
        <v>6.9560698242187504</v>
      </c>
      <c r="J129" s="12">
        <v>2.3978621408096799</v>
      </c>
      <c r="K129" s="12">
        <v>1.78350890638115</v>
      </c>
      <c r="L129" s="12">
        <v>0.80837995195835799</v>
      </c>
      <c r="M129" s="12">
        <v>6.7169126148504598E-3</v>
      </c>
      <c r="N129" s="12">
        <v>0.12874264907189401</v>
      </c>
      <c r="O129" s="12">
        <v>0.42714853259693403</v>
      </c>
      <c r="P129" s="20">
        <v>5.5523590934328597</v>
      </c>
      <c r="Q129" s="12">
        <v>0.68937308565992195</v>
      </c>
      <c r="R129" s="12">
        <v>0.82980705769623697</v>
      </c>
      <c r="S129" s="12">
        <v>0.82986739558019895</v>
      </c>
      <c r="T129" s="12">
        <v>9.3011414856147504E-3</v>
      </c>
      <c r="U129" s="12">
        <v>0.12874264907189401</v>
      </c>
      <c r="V129" s="12">
        <v>0.58285847768241605</v>
      </c>
      <c r="W129" s="20">
        <v>3.0699498071762799</v>
      </c>
      <c r="X129" s="12">
        <v>2.3978621408096799</v>
      </c>
      <c r="Y129" s="12">
        <v>2.1915161444175899</v>
      </c>
      <c r="Z129" s="12">
        <v>5.2961373746699403</v>
      </c>
      <c r="AA129" s="12">
        <v>4.9527463681314901E-2</v>
      </c>
      <c r="AB129" s="12">
        <v>0.12874264907189401</v>
      </c>
      <c r="AC129" s="20">
        <v>10.0637857726504</v>
      </c>
      <c r="AD129" s="13">
        <v>6.99383596547412</v>
      </c>
      <c r="AE129" s="12">
        <v>1.9397849842673687</v>
      </c>
      <c r="AF129" s="12">
        <v>0.30504920082055537</v>
      </c>
      <c r="AG129" s="19">
        <f t="shared" si="0"/>
        <v>188.16518478095946</v>
      </c>
    </row>
    <row r="130" spans="1:33" ht="15" x14ac:dyDescent="0.2">
      <c r="A130" s="16" t="s">
        <v>171</v>
      </c>
      <c r="B130" s="7" t="s">
        <v>27</v>
      </c>
      <c r="C130" s="8">
        <v>71.099999999999994</v>
      </c>
      <c r="D130" s="9">
        <v>76.516000000000005</v>
      </c>
      <c r="E130" s="10">
        <v>0.77100000000000002</v>
      </c>
      <c r="F130" s="41">
        <v>6439.6531017878369</v>
      </c>
      <c r="G130" s="6" t="s">
        <v>42</v>
      </c>
      <c r="H130" s="7" t="s">
        <v>32</v>
      </c>
      <c r="I130" s="11">
        <v>31.989300781249899</v>
      </c>
      <c r="J130" s="12">
        <v>0.33064725793152799</v>
      </c>
      <c r="K130" s="12">
        <v>0.48269139401984901</v>
      </c>
      <c r="L130" s="12">
        <v>0.107475825578135</v>
      </c>
      <c r="M130" s="12">
        <v>0.56531553423380798</v>
      </c>
      <c r="N130" s="12">
        <v>8.0884703639694203E-2</v>
      </c>
      <c r="O130" s="12">
        <v>0.57858378086780005</v>
      </c>
      <c r="P130" s="20">
        <v>2.1455984962708099</v>
      </c>
      <c r="Q130" s="12">
        <v>0.49753824534006402</v>
      </c>
      <c r="R130" s="12">
        <v>0.46949345511294399</v>
      </c>
      <c r="S130" s="12">
        <v>0.16583349547003001</v>
      </c>
      <c r="T130" s="12">
        <v>0.46420105993822702</v>
      </c>
      <c r="U130" s="12">
        <v>8.0884703639694203E-2</v>
      </c>
      <c r="V130" s="12">
        <v>0.67949613966899103</v>
      </c>
      <c r="W130" s="20">
        <v>2.3574470991699501</v>
      </c>
      <c r="X130" s="12">
        <v>0.33064725793152799</v>
      </c>
      <c r="Y130" s="12">
        <v>0.48269139401984901</v>
      </c>
      <c r="Z130" s="12">
        <v>2.5117733408676801</v>
      </c>
      <c r="AA130" s="12">
        <v>0.19024621636205699</v>
      </c>
      <c r="AB130" s="12">
        <v>8.0884703639694203E-2</v>
      </c>
      <c r="AC130" s="20">
        <v>3.5962429128208102</v>
      </c>
      <c r="AD130" s="13">
        <v>1.2387958136508601</v>
      </c>
      <c r="AE130" s="12">
        <v>1.4895815148133307</v>
      </c>
      <c r="AF130" s="12">
        <v>0.65553055127770077</v>
      </c>
      <c r="AG130" s="19">
        <f t="shared" si="0"/>
        <v>245.03526418004762</v>
      </c>
    </row>
    <row r="131" spans="1:33" ht="15" x14ac:dyDescent="0.2">
      <c r="A131" s="16" t="s">
        <v>172</v>
      </c>
      <c r="B131" s="7" t="s">
        <v>27</v>
      </c>
      <c r="C131" s="8">
        <v>64.5</v>
      </c>
      <c r="D131" s="9">
        <v>71.094999999999999</v>
      </c>
      <c r="E131" s="10">
        <v>0.71099999999999997</v>
      </c>
      <c r="F131" s="41">
        <v>3187.9682328341974</v>
      </c>
      <c r="G131" s="6" t="s">
        <v>45</v>
      </c>
      <c r="H131" s="7" t="s">
        <v>36</v>
      </c>
      <c r="I131" s="11">
        <v>106.651</v>
      </c>
      <c r="J131" s="12">
        <v>0.30424282896030302</v>
      </c>
      <c r="K131" s="12">
        <v>4.4794036615539599E-3</v>
      </c>
      <c r="L131" s="12">
        <v>6.6119160207611202E-2</v>
      </c>
      <c r="M131" s="12">
        <v>0.20204470134264499</v>
      </c>
      <c r="N131" s="12">
        <v>5.7233456804776497E-2</v>
      </c>
      <c r="O131" s="12">
        <v>0.44701080604925097</v>
      </c>
      <c r="P131" s="20">
        <v>1.0811303570261399</v>
      </c>
      <c r="Q131" s="12">
        <v>0.42272363325313</v>
      </c>
      <c r="R131" s="12">
        <v>3.7994929847895598E-2</v>
      </c>
      <c r="S131" s="12">
        <v>0.108938910041868</v>
      </c>
      <c r="T131" s="12">
        <v>0.20888258758286599</v>
      </c>
      <c r="U131" s="12">
        <v>5.7233456804776497E-2</v>
      </c>
      <c r="V131" s="12">
        <v>0.63208253759771704</v>
      </c>
      <c r="W131" s="20">
        <v>1.46785605512825</v>
      </c>
      <c r="X131" s="12">
        <v>0.30424282896030203</v>
      </c>
      <c r="Y131" s="12">
        <v>1.4441220315964299E-2</v>
      </c>
      <c r="Z131" s="12">
        <v>7.7486439906624197E-2</v>
      </c>
      <c r="AA131" s="12">
        <v>6.12239990443499E-2</v>
      </c>
      <c r="AB131" s="12">
        <v>5.7233456804776497E-2</v>
      </c>
      <c r="AC131" s="20">
        <v>0.51462794503201703</v>
      </c>
      <c r="AD131" s="13">
        <v>-0.95322811009623298</v>
      </c>
      <c r="AE131" s="12">
        <v>0.9274826344547521</v>
      </c>
      <c r="AF131" s="12">
        <v>2.852266514669989</v>
      </c>
      <c r="AG131" s="21" t="str">
        <f t="shared" si="0"/>
        <v/>
      </c>
    </row>
    <row r="132" spans="1:33" ht="15" x14ac:dyDescent="0.2">
      <c r="A132" s="16" t="s">
        <v>173</v>
      </c>
      <c r="B132" s="7" t="s">
        <v>27</v>
      </c>
      <c r="C132" s="8">
        <v>80.2</v>
      </c>
      <c r="D132" s="9">
        <v>77.602400000000003</v>
      </c>
      <c r="E132" s="10">
        <v>0.877</v>
      </c>
      <c r="F132" s="41">
        <v>16665.962774762531</v>
      </c>
      <c r="G132" s="6" t="s">
        <v>47</v>
      </c>
      <c r="H132" s="7" t="s">
        <v>40</v>
      </c>
      <c r="I132" s="11">
        <v>37.921601562499902</v>
      </c>
      <c r="J132" s="12">
        <v>0.81950674587495798</v>
      </c>
      <c r="K132" s="12">
        <v>7.1313535229478794E-2</v>
      </c>
      <c r="L132" s="12">
        <v>0.810039492347984</v>
      </c>
      <c r="M132" s="12">
        <v>2.63801138131971E-2</v>
      </c>
      <c r="N132" s="12">
        <v>0.10238956118744801</v>
      </c>
      <c r="O132" s="12">
        <v>2.88559131930917</v>
      </c>
      <c r="P132" s="20">
        <v>4.71522076776224</v>
      </c>
      <c r="Q132" s="12">
        <v>0.64377109365637197</v>
      </c>
      <c r="R132" s="12">
        <v>2.2908562525939601E-2</v>
      </c>
      <c r="S132" s="12">
        <v>0.89915000557955205</v>
      </c>
      <c r="T132" s="12">
        <v>6.9629006031867294E-2</v>
      </c>
      <c r="U132" s="12">
        <v>0.10238956118744801</v>
      </c>
      <c r="V132" s="12">
        <v>3.0168975014799799</v>
      </c>
      <c r="W132" s="20">
        <v>4.7547457304611598</v>
      </c>
      <c r="X132" s="12">
        <v>0.81950674587495798</v>
      </c>
      <c r="Y132" s="12">
        <v>7.1313535229478794E-2</v>
      </c>
      <c r="Z132" s="12">
        <v>0.78196306746014899</v>
      </c>
      <c r="AA132" s="12">
        <v>0.108252144515201</v>
      </c>
      <c r="AB132" s="12">
        <v>0.10238956118744801</v>
      </c>
      <c r="AC132" s="20">
        <v>1.8834250542672399</v>
      </c>
      <c r="AD132" s="13">
        <v>-2.8713206761939198</v>
      </c>
      <c r="AE132" s="12">
        <v>3.0043437030787694</v>
      </c>
      <c r="AF132" s="12">
        <v>2.524520803038286</v>
      </c>
      <c r="AG132" s="19">
        <f t="shared" si="0"/>
        <v>121.49076007047994</v>
      </c>
    </row>
    <row r="133" spans="1:33" ht="15" x14ac:dyDescent="0.2">
      <c r="A133" s="16" t="s">
        <v>174</v>
      </c>
      <c r="B133" s="7" t="s">
        <v>27</v>
      </c>
      <c r="C133" s="8">
        <v>78.599999999999994</v>
      </c>
      <c r="D133" s="9">
        <v>81.324399999999997</v>
      </c>
      <c r="E133" s="10">
        <v>0.86</v>
      </c>
      <c r="F133" s="41">
        <v>24180.495239683998</v>
      </c>
      <c r="G133" s="6" t="s">
        <v>47</v>
      </c>
      <c r="H133" s="7" t="s">
        <v>40</v>
      </c>
      <c r="I133" s="11">
        <v>10.2562001953125</v>
      </c>
      <c r="J133" s="12">
        <v>0.24469177228470099</v>
      </c>
      <c r="K133" s="12">
        <v>9.0514997039499598E-2</v>
      </c>
      <c r="L133" s="12">
        <v>0.907199520071583</v>
      </c>
      <c r="M133" s="12">
        <v>0.21749783136216899</v>
      </c>
      <c r="N133" s="12">
        <v>2.76427268651105E-2</v>
      </c>
      <c r="O133" s="12">
        <v>1.69857235333461</v>
      </c>
      <c r="P133" s="20">
        <v>3.1861192009576702</v>
      </c>
      <c r="Q133" s="12">
        <v>0.83249746999709995</v>
      </c>
      <c r="R133" s="12">
        <v>0.35208772192841897</v>
      </c>
      <c r="S133" s="12">
        <v>0.40780380415893203</v>
      </c>
      <c r="T133" s="12">
        <v>0.35821989577968</v>
      </c>
      <c r="U133" s="12">
        <v>2.76427268651105E-2</v>
      </c>
      <c r="V133" s="12">
        <v>2.57344674439583</v>
      </c>
      <c r="W133" s="20">
        <v>4.5516983631250696</v>
      </c>
      <c r="X133" s="12">
        <v>0.24469177228470099</v>
      </c>
      <c r="Y133" s="12">
        <v>9.0514997039499598E-2</v>
      </c>
      <c r="Z133" s="12">
        <v>0.85569743516233698</v>
      </c>
      <c r="AA133" s="12">
        <v>7.5176561043271195E-2</v>
      </c>
      <c r="AB133" s="12">
        <v>2.76427268651105E-2</v>
      </c>
      <c r="AC133" s="20">
        <v>1.2937234923949199</v>
      </c>
      <c r="AD133" s="13">
        <v>-3.2579748707301497</v>
      </c>
      <c r="AE133" s="12">
        <v>2.8760457637011072</v>
      </c>
      <c r="AF133" s="12">
        <v>3.5182930432058859</v>
      </c>
      <c r="AG133" s="19">
        <f t="shared" si="0"/>
        <v>126.9103588707473</v>
      </c>
    </row>
    <row r="134" spans="1:33" ht="15" x14ac:dyDescent="0.2">
      <c r="A134" s="16" t="s">
        <v>175</v>
      </c>
      <c r="B134" s="7" t="s">
        <v>27</v>
      </c>
      <c r="C134" s="8">
        <v>66.7</v>
      </c>
      <c r="D134" s="9">
        <v>80.099999999999994</v>
      </c>
      <c r="E134" s="10">
        <v>0.84499999999999997</v>
      </c>
      <c r="F134" s="41">
        <v>63990.108270658297</v>
      </c>
      <c r="G134" s="6" t="s">
        <v>28</v>
      </c>
      <c r="H134" s="7" t="s">
        <v>40</v>
      </c>
      <c r="I134" s="11">
        <v>2.78167993164061</v>
      </c>
      <c r="J134" s="12">
        <v>7.1146081436553096E-3</v>
      </c>
      <c r="K134" s="12">
        <v>6.5789479186883996E-5</v>
      </c>
      <c r="L134" s="12">
        <v>6.9364714182797204E-4</v>
      </c>
      <c r="M134" s="12">
        <v>7.5823037175467095E-2</v>
      </c>
      <c r="N134" s="12">
        <v>4.9123020721263899E-2</v>
      </c>
      <c r="O134" s="12">
        <v>11.8103776827719</v>
      </c>
      <c r="P134" s="20">
        <v>11.9431977854333</v>
      </c>
      <c r="Q134" s="12">
        <v>0.70629267122108896</v>
      </c>
      <c r="R134" s="12">
        <v>0.34224876713946001</v>
      </c>
      <c r="S134" s="12">
        <v>0.190356804103611</v>
      </c>
      <c r="T134" s="12">
        <v>0.15998458714681599</v>
      </c>
      <c r="U134" s="12">
        <v>4.9123020721263899E-2</v>
      </c>
      <c r="V134" s="12">
        <v>12.822947743662301</v>
      </c>
      <c r="W134" s="20">
        <v>14.2709535939946</v>
      </c>
      <c r="X134" s="12">
        <v>7.1146081436553E-3</v>
      </c>
      <c r="Y134" s="12">
        <v>6.5789479186883996E-5</v>
      </c>
      <c r="Z134" s="12">
        <v>0</v>
      </c>
      <c r="AA134" s="12">
        <v>0.86404971828194999</v>
      </c>
      <c r="AB134" s="12">
        <v>4.9123020721263899E-2</v>
      </c>
      <c r="AC134" s="20">
        <v>0.920353136626056</v>
      </c>
      <c r="AD134" s="13">
        <v>-13.350600457368543</v>
      </c>
      <c r="AE134" s="12">
        <v>9.0172749496088418</v>
      </c>
      <c r="AF134" s="12">
        <v>15.505954210479274</v>
      </c>
      <c r="AG134" s="19">
        <f t="shared" si="0"/>
        <v>40.477860777200014</v>
      </c>
    </row>
    <row r="135" spans="1:33" ht="15" x14ac:dyDescent="0.2">
      <c r="A135" s="16" t="s">
        <v>176</v>
      </c>
      <c r="B135" s="7" t="s">
        <v>27</v>
      </c>
      <c r="C135" s="8">
        <v>73.7</v>
      </c>
      <c r="D135" s="9">
        <v>71.808000000000007</v>
      </c>
      <c r="E135" s="10">
        <v>0.746</v>
      </c>
      <c r="F135" s="41">
        <v>2355.7234653106152</v>
      </c>
      <c r="G135" s="6" t="s">
        <v>31</v>
      </c>
      <c r="H135" s="7" t="s">
        <v>36</v>
      </c>
      <c r="I135" s="11">
        <v>4.05193994140624</v>
      </c>
      <c r="J135" s="12">
        <v>1.03196987856975</v>
      </c>
      <c r="K135" s="12">
        <v>5.8788271553549903E-2</v>
      </c>
      <c r="L135" s="12">
        <v>0.121494300996538</v>
      </c>
      <c r="M135" s="12">
        <v>3.8680785323841299E-5</v>
      </c>
      <c r="N135" s="12">
        <v>6.5430446615818302E-2</v>
      </c>
      <c r="O135" s="12">
        <v>0.70826842646197297</v>
      </c>
      <c r="P135" s="20">
        <v>1.98599000498295</v>
      </c>
      <c r="Q135" s="12">
        <v>0.53924219097805903</v>
      </c>
      <c r="R135" s="12">
        <v>6.0783807136912803E-2</v>
      </c>
      <c r="S135" s="12">
        <v>0.19366969258436101</v>
      </c>
      <c r="T135" s="12">
        <v>5.0311196832554098E-2</v>
      </c>
      <c r="U135" s="12">
        <v>6.5430446615818302E-2</v>
      </c>
      <c r="V135" s="12">
        <v>0.95922142644836295</v>
      </c>
      <c r="W135" s="20">
        <v>1.8686587605960701</v>
      </c>
      <c r="X135" s="12">
        <v>1.03196987856975</v>
      </c>
      <c r="Y135" s="12">
        <v>5.8788271553549903E-2</v>
      </c>
      <c r="Z135" s="12">
        <v>8.0826297026982602E-2</v>
      </c>
      <c r="AA135" s="12">
        <v>8.6779188972531205E-3</v>
      </c>
      <c r="AB135" s="12">
        <v>6.5430446615818302E-2</v>
      </c>
      <c r="AC135" s="20">
        <v>1.24569281266335</v>
      </c>
      <c r="AD135" s="13">
        <v>-0.62296594793272009</v>
      </c>
      <c r="AE135" s="12">
        <v>1.1807346804337471</v>
      </c>
      <c r="AF135" s="12">
        <v>1.5000959639485993</v>
      </c>
      <c r="AG135" s="19">
        <f t="shared" si="0"/>
        <v>309.12956657283576</v>
      </c>
    </row>
    <row r="136" spans="1:33" ht="15" x14ac:dyDescent="0.2">
      <c r="A136" s="16" t="s">
        <v>177</v>
      </c>
      <c r="B136" s="7" t="s">
        <v>27</v>
      </c>
      <c r="C136" s="8">
        <v>72.5</v>
      </c>
      <c r="D136" s="9">
        <v>75.688000000000002</v>
      </c>
      <c r="E136" s="10">
        <v>0.77</v>
      </c>
      <c r="F136" s="41">
        <v>5452.0011008223146</v>
      </c>
      <c r="G136" s="6" t="s">
        <v>31</v>
      </c>
      <c r="H136" s="7" t="s">
        <v>32</v>
      </c>
      <c r="I136" s="11">
        <v>2.0829599609374898</v>
      </c>
      <c r="J136" s="12">
        <v>0.41387931829220098</v>
      </c>
      <c r="K136" s="12">
        <v>0.15360171257352501</v>
      </c>
      <c r="L136" s="12">
        <v>0.1636174981256</v>
      </c>
      <c r="M136" s="12">
        <v>3.9609790678906098E-4</v>
      </c>
      <c r="N136" s="12">
        <v>2.6921798202703202E-2</v>
      </c>
      <c r="O136" s="12">
        <v>1.26477893367413</v>
      </c>
      <c r="P136" s="20">
        <v>2.02319535877495</v>
      </c>
      <c r="Q136" s="12">
        <v>0.65999577981841295</v>
      </c>
      <c r="R136" s="12">
        <v>0.2336608984362</v>
      </c>
      <c r="S136" s="12">
        <v>0.307379944866914</v>
      </c>
      <c r="T136" s="12">
        <v>3.2763737024396201E-2</v>
      </c>
      <c r="U136" s="12">
        <v>2.6921798202703202E-2</v>
      </c>
      <c r="V136" s="12">
        <v>1.8368795248948599</v>
      </c>
      <c r="W136" s="20">
        <v>3.0976016832434898</v>
      </c>
      <c r="X136" s="12">
        <v>0.41387931829220098</v>
      </c>
      <c r="Y136" s="12">
        <v>0.15360171257352501</v>
      </c>
      <c r="Z136" s="12">
        <v>0.88926189637868203</v>
      </c>
      <c r="AA136" s="12">
        <v>9.4667879899781402E-3</v>
      </c>
      <c r="AB136" s="12">
        <v>2.6921798202703202E-2</v>
      </c>
      <c r="AC136" s="20">
        <v>1.4931315134370899</v>
      </c>
      <c r="AD136" s="13">
        <v>-1.6044701698063999</v>
      </c>
      <c r="AE136" s="12">
        <v>1.9572571572184088</v>
      </c>
      <c r="AF136" s="12">
        <v>2.0745672135155835</v>
      </c>
      <c r="AG136" s="19">
        <f t="shared" si="0"/>
        <v>186.48545933469791</v>
      </c>
    </row>
    <row r="137" spans="1:33" ht="15" x14ac:dyDescent="0.2">
      <c r="A137" s="16" t="s">
        <v>178</v>
      </c>
      <c r="B137" s="7" t="s">
        <v>38</v>
      </c>
      <c r="C137" s="17" t="s">
        <v>103</v>
      </c>
      <c r="D137" s="22" t="s">
        <v>103</v>
      </c>
      <c r="E137" s="23" t="s">
        <v>103</v>
      </c>
      <c r="F137" s="42" t="s">
        <v>103</v>
      </c>
      <c r="G137" s="6" t="s">
        <v>34</v>
      </c>
      <c r="H137" s="6"/>
      <c r="I137" s="11">
        <v>0.88252600097656098</v>
      </c>
      <c r="J137" s="17"/>
      <c r="K137" s="17"/>
      <c r="L137" s="17"/>
      <c r="M137" s="17"/>
      <c r="N137" s="17"/>
      <c r="O137" s="17"/>
      <c r="P137" s="20">
        <v>2.1449161229266198</v>
      </c>
      <c r="Q137" s="17"/>
      <c r="R137" s="17"/>
      <c r="S137" s="17"/>
      <c r="T137" s="17"/>
      <c r="U137" s="17"/>
      <c r="V137" s="17"/>
      <c r="W137" s="20">
        <v>4.5935383744212599</v>
      </c>
      <c r="X137" s="17"/>
      <c r="Y137" s="17"/>
      <c r="Z137" s="17"/>
      <c r="AA137" s="17"/>
      <c r="AB137" s="17"/>
      <c r="AC137" s="20">
        <v>0.17421529534102101</v>
      </c>
      <c r="AD137" s="13">
        <v>-4.4193230790802387</v>
      </c>
      <c r="AE137" s="12">
        <v>2.9024828818143114</v>
      </c>
      <c r="AF137" s="12">
        <v>26.36702113571344</v>
      </c>
      <c r="AG137" s="19">
        <f t="shared" si="0"/>
        <v>125.75440230394825</v>
      </c>
    </row>
    <row r="138" spans="1:33" ht="15" x14ac:dyDescent="0.2">
      <c r="A138" s="16" t="s">
        <v>179</v>
      </c>
      <c r="B138" s="7" t="s">
        <v>27</v>
      </c>
      <c r="C138" s="8">
        <v>75</v>
      </c>
      <c r="D138" s="9">
        <v>75.358500000000006</v>
      </c>
      <c r="E138" s="10">
        <v>0.82299999999999995</v>
      </c>
      <c r="F138" s="41">
        <v>11534.853430762852</v>
      </c>
      <c r="G138" s="6" t="s">
        <v>47</v>
      </c>
      <c r="H138" s="7" t="s">
        <v>32</v>
      </c>
      <c r="I138" s="11">
        <v>19.5060996093749</v>
      </c>
      <c r="J138" s="12">
        <v>1.56744843078898</v>
      </c>
      <c r="K138" s="12">
        <v>0.134990406764952</v>
      </c>
      <c r="L138" s="12">
        <v>0.47864872725610202</v>
      </c>
      <c r="M138" s="12">
        <v>1.0180340629407801E-3</v>
      </c>
      <c r="N138" s="12">
        <v>0.190782581877218</v>
      </c>
      <c r="O138" s="12">
        <v>1.36767198146814</v>
      </c>
      <c r="P138" s="20">
        <v>3.7405601622183302</v>
      </c>
      <c r="Q138" s="12">
        <v>1.0468216570828699</v>
      </c>
      <c r="R138" s="12">
        <v>8.5583750237743506E-2</v>
      </c>
      <c r="S138" s="12">
        <v>0.55556611039737802</v>
      </c>
      <c r="T138" s="12">
        <v>4.2577912587394399E-2</v>
      </c>
      <c r="U138" s="12">
        <v>0.190782581877218</v>
      </c>
      <c r="V138" s="12">
        <v>1.66305298121437</v>
      </c>
      <c r="W138" s="20">
        <v>3.58438499339697</v>
      </c>
      <c r="X138" s="12">
        <v>1.56744843078898</v>
      </c>
      <c r="Y138" s="12">
        <v>0.134990406764952</v>
      </c>
      <c r="Z138" s="12">
        <v>1.1932033897151799</v>
      </c>
      <c r="AA138" s="12">
        <v>9.1816282792021101E-2</v>
      </c>
      <c r="AB138" s="12">
        <v>0.190782581877218</v>
      </c>
      <c r="AC138" s="20">
        <v>3.1782410919383501</v>
      </c>
      <c r="AD138" s="13">
        <v>-0.40614390145861989</v>
      </c>
      <c r="AE138" s="12">
        <v>2.2648370900956194</v>
      </c>
      <c r="AF138" s="12">
        <v>1.1277888900526802</v>
      </c>
      <c r="AG138" s="19">
        <f t="shared" si="0"/>
        <v>161.15949425068362</v>
      </c>
    </row>
    <row r="139" spans="1:33" ht="15" x14ac:dyDescent="0.2">
      <c r="A139" s="16" t="s">
        <v>180</v>
      </c>
      <c r="B139" s="7" t="s">
        <v>27</v>
      </c>
      <c r="C139" s="8">
        <v>73.8</v>
      </c>
      <c r="D139" s="9">
        <v>72.662199999999999</v>
      </c>
      <c r="E139" s="10">
        <v>0.82299999999999995</v>
      </c>
      <c r="F139" s="41">
        <v>11939.561118201738</v>
      </c>
      <c r="G139" s="6" t="s">
        <v>31</v>
      </c>
      <c r="H139" s="7" t="s">
        <v>32</v>
      </c>
      <c r="I139" s="11">
        <v>145.73399999999899</v>
      </c>
      <c r="J139" s="12">
        <v>0.99339922409257797</v>
      </c>
      <c r="K139" s="12">
        <v>2.1292756019290801E-2</v>
      </c>
      <c r="L139" s="12">
        <v>1.0880698061124801</v>
      </c>
      <c r="M139" s="12">
        <v>0.28973482863605698</v>
      </c>
      <c r="N139" s="12">
        <v>3.9187934991866999E-2</v>
      </c>
      <c r="O139" s="12">
        <v>3.99531064081377</v>
      </c>
      <c r="P139" s="20">
        <v>6.4269951906660499</v>
      </c>
      <c r="Q139" s="12">
        <v>0.63963851010532102</v>
      </c>
      <c r="R139" s="12">
        <v>9.1204581388717398E-2</v>
      </c>
      <c r="S139" s="12">
        <v>0.74565595858794698</v>
      </c>
      <c r="T139" s="12">
        <v>0.18908012271916</v>
      </c>
      <c r="U139" s="12">
        <v>3.9187934991866999E-2</v>
      </c>
      <c r="V139" s="12">
        <v>3.6058675861820699</v>
      </c>
      <c r="W139" s="20">
        <v>5.3106346939750804</v>
      </c>
      <c r="X139" s="12">
        <v>0.99339922409257797</v>
      </c>
      <c r="Y139" s="12">
        <v>0.33244884690102</v>
      </c>
      <c r="Z139" s="12">
        <v>4.1853294715286298</v>
      </c>
      <c r="AA139" s="12">
        <v>1.1651694727775099</v>
      </c>
      <c r="AB139" s="12">
        <v>3.9187934991866999E-2</v>
      </c>
      <c r="AC139" s="20">
        <v>6.7155349502916</v>
      </c>
      <c r="AD139" s="13">
        <v>1.4049002563165196</v>
      </c>
      <c r="AE139" s="12">
        <v>3.3555888803854543</v>
      </c>
      <c r="AF139" s="12">
        <v>0.79079845958429318</v>
      </c>
      <c r="AG139" s="19">
        <f t="shared" si="0"/>
        <v>108.77375417875169</v>
      </c>
    </row>
    <row r="140" spans="1:33" ht="15" x14ac:dyDescent="0.2">
      <c r="A140" s="16" t="s">
        <v>181</v>
      </c>
      <c r="B140" s="7" t="s">
        <v>27</v>
      </c>
      <c r="C140" s="8">
        <v>57.6</v>
      </c>
      <c r="D140" s="9">
        <v>68.7</v>
      </c>
      <c r="E140" s="10">
        <v>0.54</v>
      </c>
      <c r="F140" s="41">
        <v>845.39912209397539</v>
      </c>
      <c r="G140" s="6" t="s">
        <v>34</v>
      </c>
      <c r="H140" s="7" t="s">
        <v>29</v>
      </c>
      <c r="I140" s="11">
        <v>12.3019999999999</v>
      </c>
      <c r="J140" s="12">
        <v>0.28900280393511302</v>
      </c>
      <c r="K140" s="12">
        <v>4.7500445472226198E-2</v>
      </c>
      <c r="L140" s="12">
        <v>0.22165363907631</v>
      </c>
      <c r="M140" s="12">
        <v>2.4073599066624799E-3</v>
      </c>
      <c r="N140" s="12">
        <v>4.2840124312514098E-2</v>
      </c>
      <c r="O140" s="12">
        <v>3.7041706670911299E-2</v>
      </c>
      <c r="P140" s="20">
        <v>0.64044607937373699</v>
      </c>
      <c r="Q140" s="12">
        <v>0.323964027580119</v>
      </c>
      <c r="R140" s="12">
        <v>4.3315199570690903E-2</v>
      </c>
      <c r="S140" s="12">
        <v>0.22500869962461401</v>
      </c>
      <c r="T140" s="12">
        <v>2.1299333583403E-2</v>
      </c>
      <c r="U140" s="12">
        <v>4.2840124312514098E-2</v>
      </c>
      <c r="V140" s="12">
        <v>0.102909096437313</v>
      </c>
      <c r="W140" s="20">
        <v>0.75933648110865404</v>
      </c>
      <c r="X140" s="12">
        <v>0.28900280393511302</v>
      </c>
      <c r="Y140" s="12">
        <v>4.7500445472226198E-2</v>
      </c>
      <c r="Z140" s="12">
        <v>7.5188604312393997E-3</v>
      </c>
      <c r="AA140" s="12">
        <v>4.9479699844156401E-3</v>
      </c>
      <c r="AB140" s="12">
        <v>4.2840124312514098E-2</v>
      </c>
      <c r="AC140" s="20">
        <v>0.39181020413550799</v>
      </c>
      <c r="AD140" s="13">
        <v>-0.36752627697314605</v>
      </c>
      <c r="AE140" s="12">
        <v>0.479795956473894</v>
      </c>
      <c r="AF140" s="12">
        <v>1.9380211977481747</v>
      </c>
      <c r="AG140" s="21" t="str">
        <f t="shared" si="0"/>
        <v/>
      </c>
    </row>
    <row r="141" spans="1:33" ht="15" x14ac:dyDescent="0.2">
      <c r="A141" s="16" t="s">
        <v>182</v>
      </c>
      <c r="B141" s="7" t="s">
        <v>27</v>
      </c>
      <c r="C141" s="17"/>
      <c r="D141" s="9">
        <v>76.057000000000002</v>
      </c>
      <c r="E141" s="10">
        <v>0.75800000000000001</v>
      </c>
      <c r="F141" s="41">
        <v>9237.3916514363373</v>
      </c>
      <c r="G141" s="6" t="s">
        <v>39</v>
      </c>
      <c r="H141" s="7" t="s">
        <v>32</v>
      </c>
      <c r="I141" s="11">
        <v>0.18188900756835899</v>
      </c>
      <c r="J141" s="12">
        <v>8.1443677001357004E-2</v>
      </c>
      <c r="K141" s="12">
        <v>1.4947172379483099E-3</v>
      </c>
      <c r="L141" s="12">
        <v>1.9679802816736699E-2</v>
      </c>
      <c r="M141" s="12">
        <v>0.15974637915765799</v>
      </c>
      <c r="N141" s="12">
        <v>1.8903566109145101E-3</v>
      </c>
      <c r="O141" s="12">
        <v>0.66491960530713801</v>
      </c>
      <c r="P141" s="20">
        <v>0.92917453813175199</v>
      </c>
      <c r="Q141" s="12">
        <v>0.45120546867239503</v>
      </c>
      <c r="R141" s="12">
        <v>0.16033365944544201</v>
      </c>
      <c r="S141" s="12">
        <v>7.8905425717062494E-2</v>
      </c>
      <c r="T141" s="12">
        <v>0.21922212207706901</v>
      </c>
      <c r="U141" s="12">
        <v>1.8903566109145101E-3</v>
      </c>
      <c r="V141" s="12">
        <v>1.3522292030710801</v>
      </c>
      <c r="W141" s="20">
        <v>2.26378623559396</v>
      </c>
      <c r="X141" s="12">
        <v>8.1443677001357004E-2</v>
      </c>
      <c r="Y141" s="12">
        <v>1.4947172379483099E-3</v>
      </c>
      <c r="Z141" s="12">
        <v>9.4939460251932298E-2</v>
      </c>
      <c r="AA141" s="12">
        <v>0.140704970091453</v>
      </c>
      <c r="AB141" s="12">
        <v>1.8903566109145101E-3</v>
      </c>
      <c r="AC141" s="20">
        <v>0.32047318119360602</v>
      </c>
      <c r="AD141" s="13">
        <v>-1.9433130544003538</v>
      </c>
      <c r="AE141" s="12">
        <v>1.4304007632735101</v>
      </c>
      <c r="AF141" s="12">
        <v>7.0638866789491166</v>
      </c>
      <c r="AG141" s="19">
        <f t="shared" si="0"/>
        <v>255.17324191346754</v>
      </c>
    </row>
    <row r="142" spans="1:33" ht="15" x14ac:dyDescent="0.2">
      <c r="A142" s="16" t="s">
        <v>183</v>
      </c>
      <c r="B142" s="7" t="s">
        <v>38</v>
      </c>
      <c r="C142" s="17"/>
      <c r="D142" s="9">
        <v>73.186999999999998</v>
      </c>
      <c r="E142" s="10">
        <v>0.70899999999999996</v>
      </c>
      <c r="F142" s="41">
        <v>3753.9680936958148</v>
      </c>
      <c r="G142" s="6" t="s">
        <v>45</v>
      </c>
      <c r="H142" s="7" t="s">
        <v>36</v>
      </c>
      <c r="I142" s="11">
        <v>0.19612899780273399</v>
      </c>
      <c r="J142" s="17"/>
      <c r="K142" s="17"/>
      <c r="L142" s="17"/>
      <c r="M142" s="17"/>
      <c r="N142" s="17"/>
      <c r="O142" s="17"/>
      <c r="P142" s="20">
        <v>1.48721731491201</v>
      </c>
      <c r="Q142" s="17"/>
      <c r="R142" s="17"/>
      <c r="S142" s="17"/>
      <c r="T142" s="17"/>
      <c r="U142" s="17"/>
      <c r="V142" s="17"/>
      <c r="W142" s="20">
        <v>2.6516138307876198</v>
      </c>
      <c r="X142" s="17"/>
      <c r="Y142" s="17"/>
      <c r="Z142" s="17"/>
      <c r="AA142" s="17"/>
      <c r="AB142" s="17"/>
      <c r="AC142" s="20">
        <v>1.7437793488353801</v>
      </c>
      <c r="AD142" s="13">
        <v>-0.9078344819522397</v>
      </c>
      <c r="AE142" s="12">
        <v>1.675454328606276</v>
      </c>
      <c r="AF142" s="12">
        <v>1.5206131627597013</v>
      </c>
      <c r="AG142" s="19">
        <f t="shared" si="0"/>
        <v>217.85135755005908</v>
      </c>
    </row>
    <row r="143" spans="1:33" ht="15" x14ac:dyDescent="0.2">
      <c r="A143" s="16" t="s">
        <v>184</v>
      </c>
      <c r="B143" s="7" t="s">
        <v>38</v>
      </c>
      <c r="C143" s="8">
        <v>58.8</v>
      </c>
      <c r="D143" s="9">
        <v>70.17</v>
      </c>
      <c r="E143" s="10">
        <v>0.624</v>
      </c>
      <c r="F143" s="41">
        <v>1296.7473518125394</v>
      </c>
      <c r="G143" s="6" t="s">
        <v>34</v>
      </c>
      <c r="H143" s="7" t="s">
        <v>36</v>
      </c>
      <c r="I143" s="11">
        <v>0.211027999877928</v>
      </c>
      <c r="J143" s="17"/>
      <c r="K143" s="17"/>
      <c r="L143" s="17"/>
      <c r="M143" s="17"/>
      <c r="N143" s="17"/>
      <c r="O143" s="17"/>
      <c r="P143" s="20">
        <v>0.95236857819411402</v>
      </c>
      <c r="Q143" s="17"/>
      <c r="R143" s="17"/>
      <c r="S143" s="17"/>
      <c r="T143" s="17"/>
      <c r="U143" s="17"/>
      <c r="V143" s="17"/>
      <c r="W143" s="20">
        <v>1.28480353016925</v>
      </c>
      <c r="X143" s="17"/>
      <c r="Y143" s="17"/>
      <c r="Z143" s="17"/>
      <c r="AA143" s="17"/>
      <c r="AB143" s="17"/>
      <c r="AC143" s="20">
        <v>0.77247053196080095</v>
      </c>
      <c r="AD143" s="13">
        <v>-0.51233299820844902</v>
      </c>
      <c r="AE143" s="12">
        <v>0.81181867851069756</v>
      </c>
      <c r="AF143" s="12">
        <v>1.6632395373166771</v>
      </c>
      <c r="AG143" s="21" t="str">
        <f t="shared" si="0"/>
        <v/>
      </c>
    </row>
    <row r="144" spans="1:33" ht="15" x14ac:dyDescent="0.2">
      <c r="A144" s="16" t="s">
        <v>185</v>
      </c>
      <c r="B144" s="7" t="s">
        <v>27</v>
      </c>
      <c r="C144" s="8">
        <v>66.3</v>
      </c>
      <c r="D144" s="9">
        <v>74.998000000000005</v>
      </c>
      <c r="E144" s="10">
        <v>0.85399999999999998</v>
      </c>
      <c r="F144" s="41">
        <v>20829.129441092271</v>
      </c>
      <c r="G144" s="6" t="s">
        <v>28</v>
      </c>
      <c r="H144" s="7" t="s">
        <v>40</v>
      </c>
      <c r="I144" s="11">
        <v>33.702800781249906</v>
      </c>
      <c r="J144" s="12">
        <v>6.6818867373340599E-2</v>
      </c>
      <c r="K144" s="12">
        <v>4.90915938385557E-2</v>
      </c>
      <c r="L144" s="12">
        <v>3.3708003748785099E-3</v>
      </c>
      <c r="M144" s="12">
        <v>2.630916386703E-2</v>
      </c>
      <c r="N144" s="12">
        <v>3.8600178652606197E-2</v>
      </c>
      <c r="O144" s="12">
        <v>5.6419927172638102</v>
      </c>
      <c r="P144" s="20">
        <v>5.8261833213702197</v>
      </c>
      <c r="Q144" s="12">
        <v>0.64657972523585805</v>
      </c>
      <c r="R144" s="12">
        <v>0.170916425925699</v>
      </c>
      <c r="S144" s="12">
        <v>0.16913357571180199</v>
      </c>
      <c r="T144" s="12">
        <v>6.1169837950912E-2</v>
      </c>
      <c r="U144" s="12">
        <v>3.8600178652606197E-2</v>
      </c>
      <c r="V144" s="12">
        <v>3.86902671658319</v>
      </c>
      <c r="W144" s="20">
        <v>4.9554264600600604</v>
      </c>
      <c r="X144" s="12">
        <v>6.6818867373340599E-2</v>
      </c>
      <c r="Y144" s="12">
        <v>9.9939921977890395E-2</v>
      </c>
      <c r="Z144" s="12">
        <v>5.3449212014943202E-2</v>
      </c>
      <c r="AA144" s="12">
        <v>0.150009672002236</v>
      </c>
      <c r="AB144" s="12">
        <v>3.8600178652606197E-2</v>
      </c>
      <c r="AC144" s="20">
        <v>0.408817852021017</v>
      </c>
      <c r="AD144" s="13">
        <v>-4.5466086080390431</v>
      </c>
      <c r="AE144" s="12">
        <v>3.1311462537256229</v>
      </c>
      <c r="AF144" s="12">
        <v>12.121355355600532</v>
      </c>
      <c r="AG144" s="19">
        <f t="shared" si="0"/>
        <v>116.57072855210816</v>
      </c>
    </row>
    <row r="145" spans="1:33" ht="15" x14ac:dyDescent="0.2">
      <c r="A145" s="16" t="s">
        <v>186</v>
      </c>
      <c r="B145" s="7" t="s">
        <v>27</v>
      </c>
      <c r="C145" s="8">
        <v>58.4</v>
      </c>
      <c r="D145" s="9">
        <v>67.665000000000006</v>
      </c>
      <c r="E145" s="10">
        <v>0.51600000000000001</v>
      </c>
      <c r="F145" s="41">
        <v>1547.1008055964805</v>
      </c>
      <c r="G145" s="6" t="s">
        <v>34</v>
      </c>
      <c r="H145" s="7" t="s">
        <v>36</v>
      </c>
      <c r="I145" s="11">
        <v>15.854299804687399</v>
      </c>
      <c r="J145" s="12">
        <v>0.375897013537491</v>
      </c>
      <c r="K145" s="12">
        <v>0.151517282869433</v>
      </c>
      <c r="L145" s="12">
        <v>0.168885455425487</v>
      </c>
      <c r="M145" s="12">
        <v>0.20617070198204501</v>
      </c>
      <c r="N145" s="12">
        <v>5.3255478229785498E-2</v>
      </c>
      <c r="O145" s="12">
        <v>0.21515452630270701</v>
      </c>
      <c r="P145" s="20">
        <v>1.1708804583469501</v>
      </c>
      <c r="Q145" s="12">
        <v>0.56064989672896903</v>
      </c>
      <c r="R145" s="12">
        <v>0.18234324243993</v>
      </c>
      <c r="S145" s="12">
        <v>0.18269589605964701</v>
      </c>
      <c r="T145" s="12">
        <v>0.109171462659201</v>
      </c>
      <c r="U145" s="12">
        <v>5.3255478229785498E-2</v>
      </c>
      <c r="V145" s="12">
        <v>0.32390660555462403</v>
      </c>
      <c r="W145" s="20">
        <v>1.4120225816721601</v>
      </c>
      <c r="X145" s="12">
        <v>0.375897013537491</v>
      </c>
      <c r="Y145" s="12">
        <v>0.151517282869433</v>
      </c>
      <c r="Z145" s="12">
        <v>0.379301454267158</v>
      </c>
      <c r="AA145" s="12">
        <v>0.14869743719752301</v>
      </c>
      <c r="AB145" s="12">
        <v>5.3255478229785498E-2</v>
      </c>
      <c r="AC145" s="20">
        <v>1.10866866610139</v>
      </c>
      <c r="AD145" s="13">
        <v>-0.30335391557077007</v>
      </c>
      <c r="AE145" s="12">
        <v>0.89220357771693792</v>
      </c>
      <c r="AF145" s="12">
        <v>1.2736199956272849</v>
      </c>
      <c r="AG145" s="21" t="str">
        <f t="shared" si="0"/>
        <v/>
      </c>
    </row>
    <row r="146" spans="1:33" ht="15" x14ac:dyDescent="0.2">
      <c r="A146" s="16" t="s">
        <v>187</v>
      </c>
      <c r="B146" s="7" t="s">
        <v>27</v>
      </c>
      <c r="C146" s="8">
        <v>75.599999999999994</v>
      </c>
      <c r="D146" s="9">
        <v>75.890199999999993</v>
      </c>
      <c r="E146" s="10">
        <v>0.80300000000000005</v>
      </c>
      <c r="F146" s="41">
        <v>5471.8355059498326</v>
      </c>
      <c r="G146" s="6" t="s">
        <v>31</v>
      </c>
      <c r="H146" s="7" t="s">
        <v>32</v>
      </c>
      <c r="I146" s="11">
        <v>8.8027500000000209</v>
      </c>
      <c r="J146" s="12">
        <v>1.10691058471083</v>
      </c>
      <c r="K146" s="12">
        <v>1.7902985327500998E-2</v>
      </c>
      <c r="L146" s="12">
        <v>0.39232183547195698</v>
      </c>
      <c r="M146" s="12">
        <v>1.86669695494389E-3</v>
      </c>
      <c r="N146" s="12">
        <v>7.8951831293899599E-2</v>
      </c>
      <c r="O146" s="12">
        <v>1.75726723855961</v>
      </c>
      <c r="P146" s="20">
        <v>3.35522117231874</v>
      </c>
      <c r="Q146" s="12">
        <v>0.75245576217644505</v>
      </c>
      <c r="R146" s="12">
        <v>3.5964247548045801E-2</v>
      </c>
      <c r="S146" s="12">
        <v>0.49379656602474498</v>
      </c>
      <c r="T146" s="12">
        <v>3.1768449771072002E-2</v>
      </c>
      <c r="U146" s="12">
        <v>7.8951831293899599E-2</v>
      </c>
      <c r="V146" s="12">
        <v>1.67757563056144</v>
      </c>
      <c r="W146" s="20">
        <v>3.0705124873756402</v>
      </c>
      <c r="X146" s="12">
        <v>1.10691058471083</v>
      </c>
      <c r="Y146" s="12">
        <v>1.7902985327500998E-2</v>
      </c>
      <c r="Z146" s="12">
        <v>0.47319748119539701</v>
      </c>
      <c r="AA146" s="12">
        <v>3.5650948715346101E-3</v>
      </c>
      <c r="AB146" s="12">
        <v>7.8951831293899599E-2</v>
      </c>
      <c r="AC146" s="20">
        <v>1.6805279773991599</v>
      </c>
      <c r="AD146" s="13">
        <v>-1.3899845099764803</v>
      </c>
      <c r="AE146" s="12">
        <v>1.9401405205693345</v>
      </c>
      <c r="AF146" s="12">
        <v>1.8271117938349744</v>
      </c>
      <c r="AG146" s="19">
        <f t="shared" si="0"/>
        <v>188.13070297242731</v>
      </c>
    </row>
    <row r="147" spans="1:33" ht="15" x14ac:dyDescent="0.2">
      <c r="A147" s="16" t="s">
        <v>188</v>
      </c>
      <c r="B147" s="7" t="s">
        <v>27</v>
      </c>
      <c r="C147" s="8">
        <v>51.7</v>
      </c>
      <c r="D147" s="9">
        <v>54.308999999999997</v>
      </c>
      <c r="E147" s="10">
        <v>0.44700000000000001</v>
      </c>
      <c r="F147" s="41">
        <v>472.82602905491149</v>
      </c>
      <c r="G147" s="6" t="s">
        <v>34</v>
      </c>
      <c r="H147" s="7" t="s">
        <v>29</v>
      </c>
      <c r="I147" s="11">
        <v>7.6501499023437205</v>
      </c>
      <c r="J147" s="12">
        <v>0.36490892546864601</v>
      </c>
      <c r="K147" s="12">
        <v>7.8038213253098607E-2</v>
      </c>
      <c r="L147" s="12">
        <v>0.32120849873197099</v>
      </c>
      <c r="M147" s="12">
        <v>8.9340858114867305E-2</v>
      </c>
      <c r="N147" s="12">
        <v>5.1178006978080698E-2</v>
      </c>
      <c r="O147" s="12">
        <v>6.7815583758645603E-2</v>
      </c>
      <c r="P147" s="20">
        <v>0.97249008630530798</v>
      </c>
      <c r="Q147" s="12">
        <v>0.45178539221272901</v>
      </c>
      <c r="R147" s="12">
        <v>9.4879997514011799E-2</v>
      </c>
      <c r="S147" s="12">
        <v>0.30980590960376497</v>
      </c>
      <c r="T147" s="12">
        <v>8.9612903465772498E-2</v>
      </c>
      <c r="U147" s="12">
        <v>5.1178006978080698E-2</v>
      </c>
      <c r="V147" s="12">
        <v>0.13643383860153699</v>
      </c>
      <c r="W147" s="20">
        <v>1.1336960483759</v>
      </c>
      <c r="X147" s="12">
        <v>0.36490892546864501</v>
      </c>
      <c r="Y147" s="12">
        <v>0.27640192212172299</v>
      </c>
      <c r="Z147" s="12">
        <v>0.130214078796866</v>
      </c>
      <c r="AA147" s="12">
        <v>0.175295482473941</v>
      </c>
      <c r="AB147" s="12">
        <v>5.1178006978080698E-2</v>
      </c>
      <c r="AC147" s="20">
        <v>0.99799841583925597</v>
      </c>
      <c r="AD147" s="13">
        <v>-0.13569763253664402</v>
      </c>
      <c r="AE147" s="12">
        <v>0.71633958516916785</v>
      </c>
      <c r="AF147" s="12">
        <v>1.135969787509663</v>
      </c>
      <c r="AG147" s="21" t="str">
        <f t="shared" si="0"/>
        <v/>
      </c>
    </row>
    <row r="148" spans="1:33" ht="15" x14ac:dyDescent="0.2">
      <c r="A148" s="16" t="s">
        <v>189</v>
      </c>
      <c r="B148" s="7" t="s">
        <v>27</v>
      </c>
      <c r="C148" s="8">
        <v>69.900000000000006</v>
      </c>
      <c r="D148" s="9">
        <v>83.297600000000003</v>
      </c>
      <c r="E148" s="10">
        <v>0.93600000000000005</v>
      </c>
      <c r="F148" s="41">
        <v>57837.603126356924</v>
      </c>
      <c r="G148" s="6" t="s">
        <v>45</v>
      </c>
      <c r="H148" s="7" t="s">
        <v>40</v>
      </c>
      <c r="I148" s="11">
        <v>5.7575000000000003</v>
      </c>
      <c r="J148" s="12">
        <v>8.4624223008330005E-4</v>
      </c>
      <c r="K148" s="12">
        <v>0</v>
      </c>
      <c r="L148" s="12">
        <v>1.88192271946639E-3</v>
      </c>
      <c r="M148" s="12">
        <v>1.8257389890077901E-3</v>
      </c>
      <c r="N148" s="12">
        <v>4.12272547967222E-2</v>
      </c>
      <c r="O148" s="12">
        <v>3.1999061306515202</v>
      </c>
      <c r="P148" s="20">
        <v>3.2456872893868001</v>
      </c>
      <c r="Q148" s="12">
        <v>0.62148566653570803</v>
      </c>
      <c r="R148" s="12">
        <v>0.24258139671157899</v>
      </c>
      <c r="S148" s="12">
        <v>0.20720304097633099</v>
      </c>
      <c r="T148" s="12">
        <v>0.197772046984763</v>
      </c>
      <c r="U148" s="12">
        <v>4.12272547967222E-2</v>
      </c>
      <c r="V148" s="12">
        <v>4.6212165477984701</v>
      </c>
      <c r="W148" s="20">
        <v>5.9314859538035698</v>
      </c>
      <c r="X148" s="12">
        <v>8.4624223008330005E-4</v>
      </c>
      <c r="Y148" s="12">
        <v>0</v>
      </c>
      <c r="Z148" s="12">
        <v>2.1801844928649801E-3</v>
      </c>
      <c r="AA148" s="12">
        <v>1.2443866023619099E-2</v>
      </c>
      <c r="AB148" s="12">
        <v>4.12272547967222E-2</v>
      </c>
      <c r="AC148" s="20">
        <v>5.6697547543289602E-2</v>
      </c>
      <c r="AD148" s="13">
        <v>-5.8747884062602802</v>
      </c>
      <c r="AE148" s="12">
        <v>3.7478812717670924</v>
      </c>
      <c r="AF148" s="12">
        <v>104.61627020595155</v>
      </c>
      <c r="AG148" s="19">
        <f t="shared" si="0"/>
        <v>97.388357189849231</v>
      </c>
    </row>
    <row r="149" spans="1:33" ht="15" x14ac:dyDescent="0.2">
      <c r="A149" s="16" t="s">
        <v>190</v>
      </c>
      <c r="B149" s="7" t="s">
        <v>27</v>
      </c>
      <c r="C149" s="8">
        <v>79.599999999999994</v>
      </c>
      <c r="D149" s="9">
        <v>77.265900000000002</v>
      </c>
      <c r="E149" s="10">
        <v>0.85799999999999998</v>
      </c>
      <c r="F149" s="41">
        <v>20539.115977021003</v>
      </c>
      <c r="G149" s="6" t="s">
        <v>47</v>
      </c>
      <c r="H149" s="7" t="s">
        <v>40</v>
      </c>
      <c r="I149" s="11">
        <v>5.4530097656249996</v>
      </c>
      <c r="J149" s="12">
        <v>0.80698941194819496</v>
      </c>
      <c r="K149" s="12">
        <v>5.1769625858550002E-2</v>
      </c>
      <c r="L149" s="12">
        <v>1.1916512738574701</v>
      </c>
      <c r="M149" s="12">
        <v>1.5754658409334499E-3</v>
      </c>
      <c r="N149" s="12">
        <v>0.117866414135452</v>
      </c>
      <c r="O149" s="12">
        <v>2.2808404467689098</v>
      </c>
      <c r="P149" s="20">
        <v>4.4506926384095102</v>
      </c>
      <c r="Q149" s="12">
        <v>0.590597937211497</v>
      </c>
      <c r="R149" s="12">
        <v>0.18311174739698199</v>
      </c>
      <c r="S149" s="12">
        <v>0.89300063825203002</v>
      </c>
      <c r="T149" s="12">
        <v>4.2443931392231203E-2</v>
      </c>
      <c r="U149" s="12">
        <v>0.117866414135452</v>
      </c>
      <c r="V149" s="12">
        <v>2.9044437775978</v>
      </c>
      <c r="W149" s="20">
        <v>4.7314644459859903</v>
      </c>
      <c r="X149" s="12">
        <v>0.80698941194819496</v>
      </c>
      <c r="Y149" s="12">
        <v>5.3529722017527197E-2</v>
      </c>
      <c r="Z149" s="12">
        <v>1.81078572285744</v>
      </c>
      <c r="AA149" s="12">
        <v>2.1857364018049602E-3</v>
      </c>
      <c r="AB149" s="12">
        <v>0.117866414135452</v>
      </c>
      <c r="AC149" s="20">
        <v>2.7913570073604199</v>
      </c>
      <c r="AD149" s="13">
        <v>-1.9401074386255703</v>
      </c>
      <c r="AE149" s="12">
        <v>2.9896331413836488</v>
      </c>
      <c r="AF149" s="12">
        <v>1.6950409544568383</v>
      </c>
      <c r="AG149" s="19">
        <f t="shared" si="0"/>
        <v>122.08855827410059</v>
      </c>
    </row>
    <row r="150" spans="1:33" ht="15" x14ac:dyDescent="0.2">
      <c r="A150" s="16" t="s">
        <v>191</v>
      </c>
      <c r="B150" s="7" t="s">
        <v>27</v>
      </c>
      <c r="C150" s="8">
        <v>81.599999999999994</v>
      </c>
      <c r="D150" s="9">
        <v>81.378100000000003</v>
      </c>
      <c r="E150" s="10">
        <v>0.91200000000000003</v>
      </c>
      <c r="F150" s="41">
        <v>26709.658901778537</v>
      </c>
      <c r="G150" s="6" t="s">
        <v>47</v>
      </c>
      <c r="H150" s="7" t="s">
        <v>40</v>
      </c>
      <c r="I150" s="11">
        <v>2.0778400878906202</v>
      </c>
      <c r="J150" s="12">
        <v>0.24743783995285701</v>
      </c>
      <c r="K150" s="12">
        <v>6.0313668384467403E-2</v>
      </c>
      <c r="L150" s="12">
        <v>1.51254338266769</v>
      </c>
      <c r="M150" s="12">
        <v>1.2279691209990901E-3</v>
      </c>
      <c r="N150" s="12">
        <v>8.2507292228391399E-2</v>
      </c>
      <c r="O150" s="12">
        <v>2.3747533622286698</v>
      </c>
      <c r="P150" s="20">
        <v>4.2787835145830702</v>
      </c>
      <c r="Q150" s="12">
        <v>0.61990047123175096</v>
      </c>
      <c r="R150" s="12">
        <v>0.19260458119469501</v>
      </c>
      <c r="S150" s="12">
        <v>1.11926842887018</v>
      </c>
      <c r="T150" s="12">
        <v>4.9340608185266102E-2</v>
      </c>
      <c r="U150" s="12">
        <v>8.2507292228391399E-2</v>
      </c>
      <c r="V150" s="12">
        <v>3.3025793405094399</v>
      </c>
      <c r="W150" s="20">
        <v>5.3662007222197303</v>
      </c>
      <c r="X150" s="12">
        <v>0.24743783995285601</v>
      </c>
      <c r="Y150" s="12">
        <v>6.0313668384467403E-2</v>
      </c>
      <c r="Z150" s="12">
        <v>1.8048586778689699</v>
      </c>
      <c r="AA150" s="12">
        <v>4.3141063407687898E-3</v>
      </c>
      <c r="AB150" s="12">
        <v>8.2507292228391399E-2</v>
      </c>
      <c r="AC150" s="20">
        <v>2.1994315847754602</v>
      </c>
      <c r="AD150" s="13">
        <v>-3.1667691374442701</v>
      </c>
      <c r="AE150" s="12">
        <v>3.3906989486257846</v>
      </c>
      <c r="AF150" s="12">
        <v>2.4398125221828919</v>
      </c>
      <c r="AG150" s="19">
        <f t="shared" si="0"/>
        <v>107.6474218237307</v>
      </c>
    </row>
    <row r="151" spans="1:33" ht="15" x14ac:dyDescent="0.2">
      <c r="A151" s="16" t="s">
        <v>192</v>
      </c>
      <c r="B151" s="7" t="s">
        <v>56</v>
      </c>
      <c r="C151" s="17"/>
      <c r="D151" s="9">
        <v>72.834999999999994</v>
      </c>
      <c r="E151" s="10">
        <v>0.56399999999999995</v>
      </c>
      <c r="F151" s="41">
        <v>1773.6962451604008</v>
      </c>
      <c r="G151" s="6" t="s">
        <v>45</v>
      </c>
      <c r="H151" s="7" t="s">
        <v>29</v>
      </c>
      <c r="I151" s="11">
        <v>0.652856994628909</v>
      </c>
      <c r="J151" s="12">
        <v>0.34845310993486101</v>
      </c>
      <c r="K151" s="12">
        <v>5.5524693716479997E-3</v>
      </c>
      <c r="L151" s="12">
        <v>3.4793026975388099</v>
      </c>
      <c r="M151" s="12">
        <v>2.5816373720847401</v>
      </c>
      <c r="N151" s="12">
        <v>0.13149725421983499</v>
      </c>
      <c r="O151" s="12">
        <v>0.106280968643458</v>
      </c>
      <c r="P151" s="20">
        <v>6.6527238717933503</v>
      </c>
      <c r="Q151" s="12">
        <v>0.38798544244173999</v>
      </c>
      <c r="R151" s="12">
        <v>4.2016416632595699E-2</v>
      </c>
      <c r="S151" s="12">
        <v>7.8201521903701707E-2</v>
      </c>
      <c r="T151" s="12">
        <v>1.07650575611469</v>
      </c>
      <c r="U151" s="12">
        <v>0.13149725421983499</v>
      </c>
      <c r="V151" s="12">
        <v>5.5498669806322003E-2</v>
      </c>
      <c r="W151" s="20">
        <v>1.77170506111888</v>
      </c>
      <c r="X151" s="12">
        <v>0.34845310993486101</v>
      </c>
      <c r="Y151" s="12">
        <v>5.5524693716479997E-3</v>
      </c>
      <c r="Z151" s="12">
        <v>2.1375152129452601</v>
      </c>
      <c r="AA151" s="12">
        <v>1.00550163691536</v>
      </c>
      <c r="AB151" s="12">
        <v>0.13149725421983499</v>
      </c>
      <c r="AC151" s="20">
        <v>3.62851968338697</v>
      </c>
      <c r="AD151" s="13">
        <v>1.8568146222680899</v>
      </c>
      <c r="AE151" s="12">
        <v>1.1194733106304378</v>
      </c>
      <c r="AF151" s="12">
        <v>0.48827213732105679</v>
      </c>
      <c r="AG151" s="19">
        <f t="shared" si="0"/>
        <v>326.04618308805254</v>
      </c>
    </row>
    <row r="152" spans="1:33" ht="15" x14ac:dyDescent="0.2">
      <c r="A152" s="16" t="s">
        <v>193</v>
      </c>
      <c r="B152" s="7" t="s">
        <v>27</v>
      </c>
      <c r="C152" s="8">
        <v>45.6</v>
      </c>
      <c r="D152" s="9">
        <v>57.067999999999998</v>
      </c>
      <c r="E152" s="23" t="s">
        <v>103</v>
      </c>
      <c r="F152" s="41" t="s">
        <v>88</v>
      </c>
      <c r="G152" s="6" t="s">
        <v>34</v>
      </c>
      <c r="H152" s="7" t="s">
        <v>29</v>
      </c>
      <c r="I152" s="11">
        <v>15.0082001953126</v>
      </c>
      <c r="J152" s="12">
        <v>3.9673922856796398E-2</v>
      </c>
      <c r="K152" s="12">
        <v>0.383808446611211</v>
      </c>
      <c r="L152" s="12">
        <v>0.39719940208170601</v>
      </c>
      <c r="M152" s="12">
        <v>3.0340618701414201E-3</v>
      </c>
      <c r="N152" s="12">
        <v>2.9469648697434899E-2</v>
      </c>
      <c r="O152" s="12">
        <v>1.5500530269947899E-2</v>
      </c>
      <c r="P152" s="20">
        <v>0.86868601238723697</v>
      </c>
      <c r="Q152" s="12">
        <v>0.16626563795740401</v>
      </c>
      <c r="R152" s="12">
        <v>0.37040533057734498</v>
      </c>
      <c r="S152" s="12">
        <v>0.40920431212853797</v>
      </c>
      <c r="T152" s="12">
        <v>3.85507623988079E-3</v>
      </c>
      <c r="U152" s="12">
        <v>2.9469648697434899E-2</v>
      </c>
      <c r="V152" s="12">
        <v>3.6821683644652603E-2</v>
      </c>
      <c r="W152" s="20">
        <v>1.01602168924525</v>
      </c>
      <c r="X152" s="12">
        <v>3.9673922856796398E-2</v>
      </c>
      <c r="Y152" s="12">
        <v>0.383808446611211</v>
      </c>
      <c r="Z152" s="12">
        <v>0.13796119218195099</v>
      </c>
      <c r="AA152" s="12">
        <v>0.22705379606094001</v>
      </c>
      <c r="AB152" s="12">
        <v>2.9469648697434899E-2</v>
      </c>
      <c r="AC152" s="20">
        <v>0.81796700640833298</v>
      </c>
      <c r="AD152" s="13">
        <v>-0.19805468283691707</v>
      </c>
      <c r="AE152" s="12">
        <v>0.64198561549144362</v>
      </c>
      <c r="AF152" s="12">
        <v>1.2421304053650879</v>
      </c>
      <c r="AG152" s="21" t="str">
        <f t="shared" si="0"/>
        <v/>
      </c>
    </row>
    <row r="153" spans="1:33" ht="15" x14ac:dyDescent="0.2">
      <c r="A153" s="16" t="s">
        <v>194</v>
      </c>
      <c r="B153" s="7" t="s">
        <v>27</v>
      </c>
      <c r="C153" s="8">
        <v>63.7</v>
      </c>
      <c r="D153" s="22" t="s">
        <v>103</v>
      </c>
      <c r="E153" s="10">
        <v>0.70699999999999996</v>
      </c>
      <c r="F153" s="41">
        <v>7440.4118181424801</v>
      </c>
      <c r="G153" s="6" t="s">
        <v>34</v>
      </c>
      <c r="H153" s="7" t="s">
        <v>32</v>
      </c>
      <c r="I153" s="11">
        <v>57.792500000000096</v>
      </c>
      <c r="J153" s="12">
        <v>0.25376831431239699</v>
      </c>
      <c r="K153" s="12">
        <v>0.138960974153438</v>
      </c>
      <c r="L153" s="12">
        <v>0.26768225175628002</v>
      </c>
      <c r="M153" s="12">
        <v>7.4292197349026895E-2</v>
      </c>
      <c r="N153" s="12">
        <v>3.3710432031133303E-2</v>
      </c>
      <c r="O153" s="12">
        <v>2.6216806717908701</v>
      </c>
      <c r="P153" s="20">
        <v>3.3900948413931502</v>
      </c>
      <c r="Q153" s="12">
        <v>0.304365507753241</v>
      </c>
      <c r="R153" s="12">
        <v>8.5069656221861897E-2</v>
      </c>
      <c r="S153" s="12">
        <v>0.22116586342432301</v>
      </c>
      <c r="T153" s="12">
        <v>8.4178679711011006E-2</v>
      </c>
      <c r="U153" s="12">
        <v>3.3710432031133303E-2</v>
      </c>
      <c r="V153" s="12">
        <v>3.0719721075797102</v>
      </c>
      <c r="W153" s="20">
        <v>3.8004622467212799</v>
      </c>
      <c r="X153" s="12">
        <v>0.25376831431239699</v>
      </c>
      <c r="Y153" s="12">
        <v>0.52208543485339698</v>
      </c>
      <c r="Z153" s="12">
        <v>3.28443777117092E-2</v>
      </c>
      <c r="AA153" s="12">
        <v>0.15376684580179101</v>
      </c>
      <c r="AB153" s="12">
        <v>3.3710432031133303E-2</v>
      </c>
      <c r="AC153" s="20">
        <v>0.99617540471042698</v>
      </c>
      <c r="AD153" s="13">
        <v>-2.8042868420108529</v>
      </c>
      <c r="AE153" s="12">
        <v>2.401368120818157</v>
      </c>
      <c r="AF153" s="12">
        <v>3.8150532815312945</v>
      </c>
      <c r="AG153" s="19">
        <f t="shared" si="0"/>
        <v>151.99668756976871</v>
      </c>
    </row>
    <row r="154" spans="1:33" ht="15" x14ac:dyDescent="0.2">
      <c r="A154" s="16" t="s">
        <v>195</v>
      </c>
      <c r="B154" s="7" t="s">
        <v>27</v>
      </c>
      <c r="C154" s="8">
        <v>38.9</v>
      </c>
      <c r="D154" s="9">
        <v>57.603999999999999</v>
      </c>
      <c r="E154" s="10">
        <v>0.42899999999999999</v>
      </c>
      <c r="F154" s="43" t="s">
        <v>88</v>
      </c>
      <c r="G154" s="6" t="s">
        <v>34</v>
      </c>
      <c r="H154" s="7" t="s">
        <v>36</v>
      </c>
      <c r="I154" s="11">
        <v>10.975900390625</v>
      </c>
      <c r="J154" s="12">
        <v>0.25291000070684899</v>
      </c>
      <c r="K154" s="12">
        <v>1.0640019720713001</v>
      </c>
      <c r="L154" s="12">
        <v>0.162049935311633</v>
      </c>
      <c r="M154" s="12">
        <v>4.4392058249524196E-3</v>
      </c>
      <c r="N154" s="12">
        <v>4.3806943987229202E-2</v>
      </c>
      <c r="O154" s="12">
        <v>4.8110027144358802E-2</v>
      </c>
      <c r="P154" s="20">
        <v>1.57531808504632</v>
      </c>
      <c r="Q154" s="12">
        <v>0.28989800548542299</v>
      </c>
      <c r="R154" s="12">
        <v>1.0648362996812499</v>
      </c>
      <c r="S154" s="12">
        <v>0.160479058578156</v>
      </c>
      <c r="T154" s="12">
        <v>4.5876741566160898E-3</v>
      </c>
      <c r="U154" s="12">
        <v>4.3806943987229202E-2</v>
      </c>
      <c r="V154" s="12">
        <v>4.8110027144358802E-2</v>
      </c>
      <c r="W154" s="20">
        <v>1.6117180090330301</v>
      </c>
      <c r="X154" s="12">
        <v>0.25291000070684899</v>
      </c>
      <c r="Y154" s="12">
        <v>1.0640019720713001</v>
      </c>
      <c r="Z154" s="12">
        <v>0.361423440923404</v>
      </c>
      <c r="AA154" s="12">
        <v>6.5700986204753802E-3</v>
      </c>
      <c r="AB154" s="12">
        <v>4.3806943987229202E-2</v>
      </c>
      <c r="AC154" s="20">
        <v>1.72871245630925</v>
      </c>
      <c r="AD154" s="13">
        <v>0.11699444727621988</v>
      </c>
      <c r="AE154" s="12">
        <v>1.0183835532057774</v>
      </c>
      <c r="AF154" s="12">
        <v>0.93232278343964758</v>
      </c>
      <c r="AG154" s="19">
        <f t="shared" si="0"/>
        <v>358.41112992350838</v>
      </c>
    </row>
    <row r="155" spans="1:33" ht="15" x14ac:dyDescent="0.2">
      <c r="A155" s="16" t="s">
        <v>196</v>
      </c>
      <c r="B155" s="7" t="s">
        <v>27</v>
      </c>
      <c r="C155" s="8">
        <v>79.5</v>
      </c>
      <c r="D155" s="9">
        <v>83.431700000000006</v>
      </c>
      <c r="E155" s="10">
        <v>0.90500000000000003</v>
      </c>
      <c r="F155" s="41">
        <v>32981.460811676559</v>
      </c>
      <c r="G155" s="6" t="s">
        <v>47</v>
      </c>
      <c r="H155" s="7" t="s">
        <v>40</v>
      </c>
      <c r="I155" s="11">
        <v>46.692898437499998</v>
      </c>
      <c r="J155" s="12">
        <v>0.97762581056587805</v>
      </c>
      <c r="K155" s="12">
        <v>0.13216441136215901</v>
      </c>
      <c r="L155" s="12">
        <v>0.25804752093053801</v>
      </c>
      <c r="M155" s="12">
        <v>0.37129144267550401</v>
      </c>
      <c r="N155" s="12">
        <v>6.4708135241686601E-2</v>
      </c>
      <c r="O155" s="12">
        <v>1.92181930912021</v>
      </c>
      <c r="P155" s="20">
        <v>3.7256566298959699</v>
      </c>
      <c r="Q155" s="12">
        <v>1.1322186054208401</v>
      </c>
      <c r="R155" s="12">
        <v>0.16136759500523301</v>
      </c>
      <c r="S155" s="12">
        <v>0.29831300506587399</v>
      </c>
      <c r="T155" s="12">
        <v>0.34883748112000301</v>
      </c>
      <c r="U155" s="12">
        <v>6.4708135241686601E-2</v>
      </c>
      <c r="V155" s="12">
        <v>2.3860463842791702</v>
      </c>
      <c r="W155" s="20">
        <v>4.3914912061328097</v>
      </c>
      <c r="X155" s="12">
        <v>0.97762581056587805</v>
      </c>
      <c r="Y155" s="12">
        <v>0.13216441136215901</v>
      </c>
      <c r="Z155" s="12">
        <v>0.30217549223011198</v>
      </c>
      <c r="AA155" s="12">
        <v>5.8581086508043202E-2</v>
      </c>
      <c r="AB155" s="12">
        <v>6.4708135241686601E-2</v>
      </c>
      <c r="AC155" s="20">
        <v>1.53525493590788</v>
      </c>
      <c r="AD155" s="13">
        <v>-2.8562362702249295</v>
      </c>
      <c r="AE155" s="12">
        <v>2.7748169303243193</v>
      </c>
      <c r="AF155" s="12">
        <v>2.8604312569989436</v>
      </c>
      <c r="AG155" s="19">
        <f t="shared" si="0"/>
        <v>131.54020937782695</v>
      </c>
    </row>
    <row r="156" spans="1:33" ht="15" x14ac:dyDescent="0.2">
      <c r="A156" s="16" t="s">
        <v>197</v>
      </c>
      <c r="B156" s="7" t="s">
        <v>27</v>
      </c>
      <c r="C156" s="8">
        <v>68.099999999999994</v>
      </c>
      <c r="D156" s="9">
        <v>76.811999999999998</v>
      </c>
      <c r="E156" s="10">
        <v>0.77900000000000003</v>
      </c>
      <c r="F156" s="41">
        <v>4028.206815880475</v>
      </c>
      <c r="G156" s="6" t="s">
        <v>45</v>
      </c>
      <c r="H156" s="7" t="s">
        <v>36</v>
      </c>
      <c r="I156" s="11">
        <v>21.228800781250001</v>
      </c>
      <c r="J156" s="12">
        <v>0.27014402880947702</v>
      </c>
      <c r="K156" s="12">
        <v>1.9549321844793302E-3</v>
      </c>
      <c r="L156" s="12">
        <v>0.10442356283969501</v>
      </c>
      <c r="M156" s="12">
        <v>0.229320181319528</v>
      </c>
      <c r="N156" s="12">
        <v>5.24122234701586E-2</v>
      </c>
      <c r="O156" s="12">
        <v>0.34630822654922699</v>
      </c>
      <c r="P156" s="20">
        <v>1.00456315517257</v>
      </c>
      <c r="Q156" s="12">
        <v>0.36538912005111901</v>
      </c>
      <c r="R156" s="12">
        <v>1.42599387346963E-2</v>
      </c>
      <c r="S156" s="12">
        <v>0.164920674616751</v>
      </c>
      <c r="T156" s="12">
        <v>0.24820277895017101</v>
      </c>
      <c r="U156" s="12">
        <v>5.24122234701586E-2</v>
      </c>
      <c r="V156" s="12">
        <v>0.66800121914743804</v>
      </c>
      <c r="W156" s="20">
        <v>1.5131859549703299</v>
      </c>
      <c r="X156" s="12">
        <v>0.27014402880947702</v>
      </c>
      <c r="Y156" s="12">
        <v>1.9496378145386101E-2</v>
      </c>
      <c r="Z156" s="12">
        <v>4.3866541417813799E-2</v>
      </c>
      <c r="AA156" s="12">
        <v>6.8249519982806497E-2</v>
      </c>
      <c r="AB156" s="12">
        <v>5.24122234701586E-2</v>
      </c>
      <c r="AC156" s="20">
        <v>0.45416869182564201</v>
      </c>
      <c r="AD156" s="13">
        <v>-1.0590172631446879</v>
      </c>
      <c r="AE156" s="12">
        <v>0.95612488093268011</v>
      </c>
      <c r="AF156" s="12">
        <v>3.3317707323411248</v>
      </c>
      <c r="AG156" s="21" t="str">
        <f t="shared" si="0"/>
        <v/>
      </c>
    </row>
    <row r="157" spans="1:33" ht="15" x14ac:dyDescent="0.2">
      <c r="A157" s="16" t="s">
        <v>198</v>
      </c>
      <c r="B157" s="7" t="s">
        <v>38</v>
      </c>
      <c r="C157" s="17" t="s">
        <v>103</v>
      </c>
      <c r="D157" s="9">
        <v>73.894999999999996</v>
      </c>
      <c r="E157" s="10">
        <v>0.70799999999999996</v>
      </c>
      <c r="F157" s="41">
        <v>2805.3169157165771</v>
      </c>
      <c r="G157" s="6" t="s">
        <v>28</v>
      </c>
      <c r="H157" s="7" t="s">
        <v>36</v>
      </c>
      <c r="I157" s="11">
        <v>4.8629799804687304</v>
      </c>
      <c r="J157" s="17"/>
      <c r="K157" s="17"/>
      <c r="L157" s="17"/>
      <c r="M157" s="17"/>
      <c r="N157" s="17"/>
      <c r="O157" s="17"/>
      <c r="P157" s="20">
        <v>0.30010306031503903</v>
      </c>
      <c r="Q157" s="17"/>
      <c r="R157" s="17"/>
      <c r="S157" s="17"/>
      <c r="T157" s="17"/>
      <c r="U157" s="17"/>
      <c r="V157" s="17"/>
      <c r="W157" s="20">
        <v>1.1415959032497101</v>
      </c>
      <c r="X157" s="17"/>
      <c r="Y157" s="17"/>
      <c r="Z157" s="17"/>
      <c r="AA157" s="17"/>
      <c r="AB157" s="17"/>
      <c r="AC157" s="20">
        <v>9.5924858058624995E-2</v>
      </c>
      <c r="AD157" s="13">
        <v>-1.0456710451910851</v>
      </c>
      <c r="AE157" s="12">
        <v>0.72133120419378094</v>
      </c>
      <c r="AF157" s="12">
        <v>11.900939197137175</v>
      </c>
      <c r="AG157" s="21" t="str">
        <f t="shared" si="0"/>
        <v/>
      </c>
    </row>
    <row r="158" spans="1:33" ht="15" x14ac:dyDescent="0.2">
      <c r="A158" s="16" t="s">
        <v>199</v>
      </c>
      <c r="B158" s="7" t="s">
        <v>27</v>
      </c>
      <c r="C158" s="8">
        <v>49.5</v>
      </c>
      <c r="D158" s="9">
        <v>65.094999999999999</v>
      </c>
      <c r="E158" s="10">
        <v>0.50600000000000001</v>
      </c>
      <c r="F158" s="41">
        <v>1589.5984593854364</v>
      </c>
      <c r="G158" s="6" t="s">
        <v>34</v>
      </c>
      <c r="H158" s="7" t="s">
        <v>36</v>
      </c>
      <c r="I158" s="11">
        <v>41.801499999999798</v>
      </c>
      <c r="J158" s="12">
        <v>0.52265261293584198</v>
      </c>
      <c r="K158" s="12">
        <v>0.52242549685623396</v>
      </c>
      <c r="L158" s="12">
        <v>0.15928985847469701</v>
      </c>
      <c r="M158" s="12">
        <v>8.0686300115692504E-4</v>
      </c>
      <c r="N158" s="12">
        <v>4.7600457163165202E-2</v>
      </c>
      <c r="O158" s="12">
        <v>0.16399715086679401</v>
      </c>
      <c r="P158" s="20">
        <v>1.41677243929789</v>
      </c>
      <c r="Q158" s="12">
        <v>0.53862192574185797</v>
      </c>
      <c r="R158" s="12">
        <v>0.51144482263405899</v>
      </c>
      <c r="S158" s="12">
        <v>0.16781968678593001</v>
      </c>
      <c r="T158" s="12">
        <v>1.1475360463582399E-3</v>
      </c>
      <c r="U158" s="12">
        <v>4.7600457163165202E-2</v>
      </c>
      <c r="V158" s="12">
        <v>0.20860309099119501</v>
      </c>
      <c r="W158" s="20">
        <v>1.47523751936257</v>
      </c>
      <c r="X158" s="12">
        <v>0.52265261293584198</v>
      </c>
      <c r="Y158" s="12">
        <v>0.52242549685623396</v>
      </c>
      <c r="Z158" s="12">
        <v>0.248007643125852</v>
      </c>
      <c r="AA158" s="12">
        <v>2.1024519709351399E-2</v>
      </c>
      <c r="AB158" s="12">
        <v>4.7600457163165202E-2</v>
      </c>
      <c r="AC158" s="20">
        <v>1.3617107297904401</v>
      </c>
      <c r="AD158" s="13">
        <v>-0.11352678957212992</v>
      </c>
      <c r="AE158" s="12">
        <v>0.93214670207246031</v>
      </c>
      <c r="AF158" s="12">
        <v>1.0833707094234333</v>
      </c>
      <c r="AG158" s="21" t="str">
        <f t="shared" si="0"/>
        <v/>
      </c>
    </row>
    <row r="159" spans="1:33" ht="15" x14ac:dyDescent="0.2">
      <c r="A159" s="16" t="s">
        <v>200</v>
      </c>
      <c r="B159" s="7" t="s">
        <v>27</v>
      </c>
      <c r="C159" s="8">
        <v>67</v>
      </c>
      <c r="D159" s="9">
        <v>71.569999999999993</v>
      </c>
      <c r="E159" s="10">
        <v>0.73399999999999999</v>
      </c>
      <c r="F159" s="41">
        <v>8100.3317403163283</v>
      </c>
      <c r="G159" s="6" t="s">
        <v>42</v>
      </c>
      <c r="H159" s="7" t="s">
        <v>32</v>
      </c>
      <c r="I159" s="11">
        <v>0.57598999023437503</v>
      </c>
      <c r="J159" s="12">
        <v>0.34770037289087902</v>
      </c>
      <c r="K159" s="12">
        <v>2.4807812694015802E-2</v>
      </c>
      <c r="L159" s="12">
        <v>1.36240505716044</v>
      </c>
      <c r="M159" s="12">
        <v>0.35674994774160801</v>
      </c>
      <c r="N159" s="12">
        <v>9.3805470668720706E-2</v>
      </c>
      <c r="O159" s="12">
        <v>1.3554622589805501</v>
      </c>
      <c r="P159" s="20">
        <v>3.54093092013622</v>
      </c>
      <c r="Q159" s="12">
        <v>0.32257757411327198</v>
      </c>
      <c r="R159" s="12">
        <v>1.9439344046237499E-3</v>
      </c>
      <c r="S159" s="12">
        <v>0.74138895292516604</v>
      </c>
      <c r="T159" s="12">
        <v>0.248663172021166</v>
      </c>
      <c r="U159" s="12">
        <v>9.3805470668720706E-2</v>
      </c>
      <c r="V159" s="12">
        <v>1.6561879477842401</v>
      </c>
      <c r="W159" s="20">
        <v>3.0645670519171899</v>
      </c>
      <c r="X159" s="12">
        <v>0.34770037289087902</v>
      </c>
      <c r="Y159" s="12">
        <v>2.4807812694015802E-2</v>
      </c>
      <c r="Z159" s="12">
        <v>73.039185278813804</v>
      </c>
      <c r="AA159" s="12">
        <v>6.8680256699690796</v>
      </c>
      <c r="AB159" s="12">
        <v>9.3805470668720706E-2</v>
      </c>
      <c r="AC159" s="20">
        <v>80.373524605036494</v>
      </c>
      <c r="AD159" s="13">
        <v>77.308957553119299</v>
      </c>
      <c r="AE159" s="12">
        <v>1.93638382513403</v>
      </c>
      <c r="AF159" s="12">
        <v>3.8129061366622627E-2</v>
      </c>
      <c r="AG159" s="19">
        <f t="shared" si="0"/>
        <v>188.49568730245716</v>
      </c>
    </row>
    <row r="160" spans="1:33" ht="15" x14ac:dyDescent="0.2">
      <c r="A160" s="16" t="s">
        <v>201</v>
      </c>
      <c r="B160" s="7" t="s">
        <v>27</v>
      </c>
      <c r="C160" s="8">
        <v>85.6</v>
      </c>
      <c r="D160" s="9">
        <v>82.558499999999995</v>
      </c>
      <c r="E160" s="10">
        <v>0.94299999999999995</v>
      </c>
      <c r="F160" s="41">
        <v>59067.517556382314</v>
      </c>
      <c r="G160" s="6" t="s">
        <v>47</v>
      </c>
      <c r="H160" s="7" t="s">
        <v>40</v>
      </c>
      <c r="I160" s="11">
        <v>9.9716396484375007</v>
      </c>
      <c r="J160" s="12">
        <v>0.388176273718079</v>
      </c>
      <c r="K160" s="12">
        <v>0.17319291581157001</v>
      </c>
      <c r="L160" s="12">
        <v>5.0104039378123897</v>
      </c>
      <c r="M160" s="12">
        <v>6.60129623957358E-2</v>
      </c>
      <c r="N160" s="12">
        <v>7.2081216156128794E-2</v>
      </c>
      <c r="O160" s="12">
        <v>1.32088427355604</v>
      </c>
      <c r="P160" s="20">
        <v>7.0307515794499498</v>
      </c>
      <c r="Q160" s="12">
        <v>0.66320521984815195</v>
      </c>
      <c r="R160" s="12">
        <v>0.38362947605611603</v>
      </c>
      <c r="S160" s="12">
        <v>1.7213585920090599</v>
      </c>
      <c r="T160" s="12">
        <v>0.117643733958309</v>
      </c>
      <c r="U160" s="12">
        <v>7.2081216156128794E-2</v>
      </c>
      <c r="V160" s="12">
        <v>3.3183374344234302</v>
      </c>
      <c r="W160" s="20">
        <v>6.2762556724511898</v>
      </c>
      <c r="X160" s="12">
        <v>0.388176273718079</v>
      </c>
      <c r="Y160" s="12">
        <v>0.23675831629615199</v>
      </c>
      <c r="Z160" s="12">
        <v>6.1715985315098996</v>
      </c>
      <c r="AA160" s="12">
        <v>2.0904646609379101</v>
      </c>
      <c r="AB160" s="12">
        <v>7.2081216156128794E-2</v>
      </c>
      <c r="AC160" s="20">
        <v>8.9590789986181605</v>
      </c>
      <c r="AD160" s="13">
        <v>2.6828233261669707</v>
      </c>
      <c r="AE160" s="12">
        <v>3.9657281960716553</v>
      </c>
      <c r="AF160" s="12">
        <v>0.7005469728996957</v>
      </c>
      <c r="AG160" s="19">
        <f t="shared" si="0"/>
        <v>92.038582059546911</v>
      </c>
    </row>
    <row r="161" spans="1:33" ht="15" x14ac:dyDescent="0.2">
      <c r="A161" s="16" t="s">
        <v>202</v>
      </c>
      <c r="B161" s="7" t="s">
        <v>27</v>
      </c>
      <c r="C161" s="8">
        <v>80.099999999999994</v>
      </c>
      <c r="D161" s="9">
        <v>83.753699999999995</v>
      </c>
      <c r="E161" s="10">
        <v>0.95499999999999996</v>
      </c>
      <c r="F161" s="41">
        <v>79173.217185124187</v>
      </c>
      <c r="G161" s="6" t="s">
        <v>31</v>
      </c>
      <c r="H161" s="7" t="s">
        <v>40</v>
      </c>
      <c r="I161" s="11">
        <v>8.5256103515624915</v>
      </c>
      <c r="J161" s="12">
        <v>0.14420148707878999</v>
      </c>
      <c r="K161" s="12">
        <v>0.104567407130239</v>
      </c>
      <c r="L161" s="12">
        <v>0.340452898713344</v>
      </c>
      <c r="M161" s="12">
        <v>2.11682929257622E-3</v>
      </c>
      <c r="N161" s="12">
        <v>5.1262746384260101E-2</v>
      </c>
      <c r="O161" s="12">
        <v>1.51421003003343</v>
      </c>
      <c r="P161" s="20">
        <v>2.15681139863264</v>
      </c>
      <c r="Q161" s="12">
        <v>0.589137183813361</v>
      </c>
      <c r="R161" s="12">
        <v>0.19085000655463399</v>
      </c>
      <c r="S161" s="12">
        <v>0.33553283060785499</v>
      </c>
      <c r="T161" s="12">
        <v>6.5688437164359306E-2</v>
      </c>
      <c r="U161" s="12">
        <v>5.1262746384260101E-2</v>
      </c>
      <c r="V161" s="12">
        <v>3.1157789343292701</v>
      </c>
      <c r="W161" s="20">
        <v>4.3482501388537402</v>
      </c>
      <c r="X161" s="12">
        <v>0.14420148707878999</v>
      </c>
      <c r="Y161" s="12">
        <v>0.104567407130239</v>
      </c>
      <c r="Z161" s="12">
        <v>0.68809809460886995</v>
      </c>
      <c r="AA161" s="12">
        <v>6.1306987911416604E-3</v>
      </c>
      <c r="AB161" s="12">
        <v>5.1262746384260101E-2</v>
      </c>
      <c r="AC161" s="20">
        <v>0.994260433993301</v>
      </c>
      <c r="AD161" s="13">
        <v>-3.3539897048604392</v>
      </c>
      <c r="AE161" s="12">
        <v>2.7474945380117282</v>
      </c>
      <c r="AF161" s="12">
        <v>4.3733512771795935</v>
      </c>
      <c r="AG161" s="19">
        <f t="shared" si="0"/>
        <v>132.84830777648736</v>
      </c>
    </row>
    <row r="162" spans="1:33" ht="15" x14ac:dyDescent="0.2">
      <c r="A162" s="16" t="s">
        <v>203</v>
      </c>
      <c r="B162" s="7" t="s">
        <v>27</v>
      </c>
      <c r="C162" s="8">
        <v>58</v>
      </c>
      <c r="D162" s="9">
        <v>71.778999999999996</v>
      </c>
      <c r="E162" s="10">
        <v>0.56299999999999994</v>
      </c>
      <c r="F162" s="41" t="s">
        <v>88</v>
      </c>
      <c r="G162" s="6" t="s">
        <v>28</v>
      </c>
      <c r="H162" s="7" t="s">
        <v>36</v>
      </c>
      <c r="I162" s="11">
        <v>16.9450996093749</v>
      </c>
      <c r="J162" s="12">
        <v>0.27394346667353597</v>
      </c>
      <c r="K162" s="12">
        <v>0.12769224038122001</v>
      </c>
      <c r="L162" s="12">
        <v>2.4041591176670899E-3</v>
      </c>
      <c r="M162" s="12">
        <v>7.8991148182386099E-4</v>
      </c>
      <c r="N162" s="12">
        <v>2.3485407782155E-2</v>
      </c>
      <c r="O162" s="12">
        <v>0.54192714019398003</v>
      </c>
      <c r="P162" s="20">
        <v>0.97024232563038204</v>
      </c>
      <c r="Q162" s="12">
        <v>0.37632280415611802</v>
      </c>
      <c r="R162" s="12">
        <v>5.4940821585115797E-2</v>
      </c>
      <c r="S162" s="12">
        <v>3.6044189453646E-2</v>
      </c>
      <c r="T162" s="12">
        <v>7.82357644448896E-3</v>
      </c>
      <c r="U162" s="12">
        <v>2.3485407782155E-2</v>
      </c>
      <c r="V162" s="12">
        <v>0.83838713709927304</v>
      </c>
      <c r="W162" s="20">
        <v>1.3370039365208</v>
      </c>
      <c r="X162" s="12">
        <v>0.27394346667353597</v>
      </c>
      <c r="Y162" s="12">
        <v>0.12769224038122001</v>
      </c>
      <c r="Z162" s="12">
        <v>5.6807498644340503E-2</v>
      </c>
      <c r="AA162" s="12">
        <v>4.8481743272799803E-3</v>
      </c>
      <c r="AB162" s="12">
        <v>2.3485407782155E-2</v>
      </c>
      <c r="AC162" s="20">
        <v>0.48677678780853201</v>
      </c>
      <c r="AD162" s="13">
        <v>-0.8502271487122679</v>
      </c>
      <c r="AE162" s="12">
        <v>0.84480213777660906</v>
      </c>
      <c r="AF162" s="12">
        <v>2.7466468615728137</v>
      </c>
      <c r="AG162" s="21" t="str">
        <f t="shared" si="0"/>
        <v/>
      </c>
    </row>
    <row r="163" spans="1:33" ht="15" x14ac:dyDescent="0.2">
      <c r="A163" s="16" t="s">
        <v>204</v>
      </c>
      <c r="B163" s="7" t="s">
        <v>56</v>
      </c>
      <c r="C163" s="8">
        <v>69.8</v>
      </c>
      <c r="D163" s="9">
        <v>70.879000000000005</v>
      </c>
      <c r="E163" s="10">
        <v>0.66100000000000003</v>
      </c>
      <c r="F163" s="41">
        <v>1073.0230007779585</v>
      </c>
      <c r="G163" s="6" t="s">
        <v>28</v>
      </c>
      <c r="H163" s="7" t="s">
        <v>29</v>
      </c>
      <c r="I163" s="11">
        <v>9.1008300781250089</v>
      </c>
      <c r="J163" s="12">
        <v>0.24968945767503201</v>
      </c>
      <c r="K163" s="12">
        <v>0.121868384900884</v>
      </c>
      <c r="L163" s="12">
        <v>0.15225563288719399</v>
      </c>
      <c r="M163" s="12">
        <v>2.2946989670934699E-4</v>
      </c>
      <c r="N163" s="12">
        <v>8.7882956523326394E-2</v>
      </c>
      <c r="O163" s="12">
        <v>0.29167976162473103</v>
      </c>
      <c r="P163" s="20">
        <v>0.90360566350787697</v>
      </c>
      <c r="Q163" s="12">
        <v>0.40057913608304302</v>
      </c>
      <c r="R163" s="12">
        <v>0.12539603282822101</v>
      </c>
      <c r="S163" s="12">
        <v>0.214265079485744</v>
      </c>
      <c r="T163" s="12">
        <v>2.0739001053330401E-3</v>
      </c>
      <c r="U163" s="12">
        <v>8.7882956523326394E-2</v>
      </c>
      <c r="V163" s="12">
        <v>0.297452623394932</v>
      </c>
      <c r="W163" s="20">
        <v>1.1276497284206</v>
      </c>
      <c r="X163" s="12">
        <v>0.24968945767503201</v>
      </c>
      <c r="Y163" s="12">
        <v>0.121868384900884</v>
      </c>
      <c r="Z163" s="12">
        <v>5.7893675218405804E-3</v>
      </c>
      <c r="AA163" s="12">
        <v>1.03730164431534E-2</v>
      </c>
      <c r="AB163" s="12">
        <v>8.7882956523326394E-2</v>
      </c>
      <c r="AC163" s="20">
        <v>0.47560318306423599</v>
      </c>
      <c r="AD163" s="13">
        <v>-0.65204654535636397</v>
      </c>
      <c r="AE163" s="12">
        <v>0.71251914464211086</v>
      </c>
      <c r="AF163" s="12">
        <v>2.3709886068367569</v>
      </c>
      <c r="AG163" s="21" t="str">
        <f t="shared" si="0"/>
        <v/>
      </c>
    </row>
    <row r="164" spans="1:33" ht="15" x14ac:dyDescent="0.2">
      <c r="A164" s="16" t="s">
        <v>205</v>
      </c>
      <c r="B164" s="7" t="s">
        <v>27</v>
      </c>
      <c r="C164" s="8">
        <v>56.4</v>
      </c>
      <c r="D164" s="9">
        <v>65.015000000000001</v>
      </c>
      <c r="E164" s="10">
        <v>0.52400000000000002</v>
      </c>
      <c r="F164" s="41">
        <v>931.3041204253866</v>
      </c>
      <c r="G164" s="6" t="s">
        <v>34</v>
      </c>
      <c r="H164" s="7" t="s">
        <v>29</v>
      </c>
      <c r="I164" s="11">
        <v>56.3133984374997</v>
      </c>
      <c r="J164" s="12">
        <v>0.444377567606418</v>
      </c>
      <c r="K164" s="12">
        <v>0.28545929940853898</v>
      </c>
      <c r="L164" s="12">
        <v>0.20117835522359401</v>
      </c>
      <c r="M164" s="12">
        <v>8.6541804185720203E-2</v>
      </c>
      <c r="N164" s="12">
        <v>6.4964022071257302E-2</v>
      </c>
      <c r="O164" s="12">
        <v>6.8231107420781395E-2</v>
      </c>
      <c r="P164" s="20">
        <v>1.1507521559163101</v>
      </c>
      <c r="Q164" s="12">
        <v>0.41335182743076099</v>
      </c>
      <c r="R164" s="12">
        <v>0.28352009244918303</v>
      </c>
      <c r="S164" s="12">
        <v>0.20533760433537501</v>
      </c>
      <c r="T164" s="12">
        <v>7.6868879363445095E-2</v>
      </c>
      <c r="U164" s="12">
        <v>6.4964022071257302E-2</v>
      </c>
      <c r="V164" s="12">
        <v>0.12891036919148399</v>
      </c>
      <c r="W164" s="20">
        <v>1.1729527948415099</v>
      </c>
      <c r="X164" s="12">
        <v>0.444377567606418</v>
      </c>
      <c r="Y164" s="12">
        <v>0.28545929940853898</v>
      </c>
      <c r="Z164" s="12">
        <v>0.13747768743407501</v>
      </c>
      <c r="AA164" s="12">
        <v>5.1702182968929603E-2</v>
      </c>
      <c r="AB164" s="12">
        <v>6.4964022071257302E-2</v>
      </c>
      <c r="AC164" s="20">
        <v>0.98398075948921904</v>
      </c>
      <c r="AD164" s="13">
        <v>-0.1889720353522909</v>
      </c>
      <c r="AE164" s="12">
        <v>0.74114443609773184</v>
      </c>
      <c r="AF164" s="12">
        <v>1.1920485065687521</v>
      </c>
      <c r="AG164" s="21" t="str">
        <f t="shared" si="0"/>
        <v/>
      </c>
    </row>
    <row r="165" spans="1:33" ht="15" x14ac:dyDescent="0.2">
      <c r="A165" s="16" t="s">
        <v>206</v>
      </c>
      <c r="B165" s="7" t="s">
        <v>27</v>
      </c>
      <c r="C165" s="8">
        <v>74.2</v>
      </c>
      <c r="D165" s="9">
        <v>76.930999999999997</v>
      </c>
      <c r="E165" s="10">
        <v>0.77200000000000002</v>
      </c>
      <c r="F165" s="41">
        <v>6366.2616936848699</v>
      </c>
      <c r="G165" s="6" t="s">
        <v>45</v>
      </c>
      <c r="H165" s="7" t="s">
        <v>32</v>
      </c>
      <c r="I165" s="11">
        <v>69.4285</v>
      </c>
      <c r="J165" s="12">
        <v>0.77792658071588705</v>
      </c>
      <c r="K165" s="12">
        <v>9.3735699005175897E-4</v>
      </c>
      <c r="L165" s="12">
        <v>0.24651256502572899</v>
      </c>
      <c r="M165" s="12">
        <v>0.118769918559108</v>
      </c>
      <c r="N165" s="12">
        <v>6.8644081394075795E-2</v>
      </c>
      <c r="O165" s="12">
        <v>1.2967433660225001</v>
      </c>
      <c r="P165" s="20">
        <v>2.5095338687073498</v>
      </c>
      <c r="Q165" s="12">
        <v>0.44260951594398901</v>
      </c>
      <c r="R165" s="12">
        <v>2.2266532442151901E-2</v>
      </c>
      <c r="S165" s="12">
        <v>0.17270135224234201</v>
      </c>
      <c r="T165" s="12">
        <v>0.19561428086968499</v>
      </c>
      <c r="U165" s="12">
        <v>6.8644081394075795E-2</v>
      </c>
      <c r="V165" s="12">
        <v>1.45053098015966</v>
      </c>
      <c r="W165" s="20">
        <v>2.3523667430519</v>
      </c>
      <c r="X165" s="12">
        <v>0.77792658071588705</v>
      </c>
      <c r="Y165" s="12">
        <v>1.0256740705349199E-2</v>
      </c>
      <c r="Z165" s="12">
        <v>0.22636416456263</v>
      </c>
      <c r="AA165" s="12">
        <v>0.18757618808927601</v>
      </c>
      <c r="AB165" s="12">
        <v>6.8644081394075795E-2</v>
      </c>
      <c r="AC165" s="20">
        <v>1.2707677554672201</v>
      </c>
      <c r="AD165" s="13">
        <v>-1.0815989875846799</v>
      </c>
      <c r="AE165" s="12">
        <v>1.4863714302414306</v>
      </c>
      <c r="AF165" s="12">
        <v>1.8511382059635366</v>
      </c>
      <c r="AG165" s="19">
        <f t="shared" si="0"/>
        <v>245.56446159673106</v>
      </c>
    </row>
    <row r="166" spans="1:33" ht="15" x14ac:dyDescent="0.2">
      <c r="A166" s="16" t="s">
        <v>207</v>
      </c>
      <c r="B166" s="7" t="s">
        <v>56</v>
      </c>
      <c r="C166" s="17"/>
      <c r="D166" s="9">
        <v>69.260000000000005</v>
      </c>
      <c r="E166" s="10">
        <v>0.59899999999999998</v>
      </c>
      <c r="F166" s="41">
        <v>839.88582112040035</v>
      </c>
      <c r="G166" s="6" t="s">
        <v>45</v>
      </c>
      <c r="H166" s="7" t="s">
        <v>36</v>
      </c>
      <c r="I166" s="11">
        <v>1.26796997070312</v>
      </c>
      <c r="J166" s="12">
        <v>0.170365710576939</v>
      </c>
      <c r="K166" s="12">
        <v>5.3603918327611598E-2</v>
      </c>
      <c r="L166" s="12">
        <v>2.5279528740583899E-2</v>
      </c>
      <c r="M166" s="12">
        <v>2.0753886824761902E-3</v>
      </c>
      <c r="N166" s="12">
        <v>3.8232732481211701E-2</v>
      </c>
      <c r="O166" s="12">
        <v>0.103422559436241</v>
      </c>
      <c r="P166" s="20">
        <v>0.392979838245063</v>
      </c>
      <c r="Q166" s="12">
        <v>0.33603669045124002</v>
      </c>
      <c r="R166" s="12">
        <v>5.8530786416343003E-2</v>
      </c>
      <c r="S166" s="12">
        <v>3.1593229932869699E-2</v>
      </c>
      <c r="T166" s="12">
        <v>2.4540131885468101E-2</v>
      </c>
      <c r="U166" s="12">
        <v>3.8232732481211701E-2</v>
      </c>
      <c r="V166" s="12">
        <v>0.103422559436241</v>
      </c>
      <c r="W166" s="20">
        <v>0.592356130603373</v>
      </c>
      <c r="X166" s="12">
        <v>0.170365710576939</v>
      </c>
      <c r="Y166" s="12">
        <v>5.3603918327611598E-2</v>
      </c>
      <c r="Z166" s="12">
        <v>0.57401799903305695</v>
      </c>
      <c r="AA166" s="12">
        <v>0.82990060508733698</v>
      </c>
      <c r="AB166" s="12">
        <v>3.8232732481211701E-2</v>
      </c>
      <c r="AC166" s="20">
        <v>1.66612096550616</v>
      </c>
      <c r="AD166" s="13">
        <v>1.0737648349027871</v>
      </c>
      <c r="AE166" s="12">
        <v>0.37428739870507072</v>
      </c>
      <c r="AF166" s="12">
        <v>0.35553008627042748</v>
      </c>
      <c r="AG166" s="21" t="str">
        <f t="shared" si="0"/>
        <v/>
      </c>
    </row>
    <row r="167" spans="1:33" ht="15" x14ac:dyDescent="0.2">
      <c r="A167" s="16" t="s">
        <v>208</v>
      </c>
      <c r="B167" s="7" t="s">
        <v>27</v>
      </c>
      <c r="C167" s="8">
        <v>53.2</v>
      </c>
      <c r="D167" s="9">
        <v>60.76</v>
      </c>
      <c r="E167" s="10">
        <v>0.51</v>
      </c>
      <c r="F167" s="41">
        <v>676.98810709212148</v>
      </c>
      <c r="G167" s="6" t="s">
        <v>34</v>
      </c>
      <c r="H167" s="7" t="s">
        <v>29</v>
      </c>
      <c r="I167" s="11">
        <v>7.8890898437500105</v>
      </c>
      <c r="J167" s="12">
        <v>0.33498223015404999</v>
      </c>
      <c r="K167" s="12">
        <v>9.7519762999091805E-2</v>
      </c>
      <c r="L167" s="12">
        <v>0.227690400129436</v>
      </c>
      <c r="M167" s="12">
        <v>1.31112090817868E-2</v>
      </c>
      <c r="N167" s="12">
        <v>2.6832789421490699E-2</v>
      </c>
      <c r="O167" s="12">
        <v>8.6569168013177503E-2</v>
      </c>
      <c r="P167" s="20">
        <v>0.78670555979903301</v>
      </c>
      <c r="Q167" s="12">
        <v>0.370508986948896</v>
      </c>
      <c r="R167" s="12">
        <v>9.2992748610859793E-2</v>
      </c>
      <c r="S167" s="12">
        <v>0.232955795891443</v>
      </c>
      <c r="T167" s="12">
        <v>7.2376700108657405E-2</v>
      </c>
      <c r="U167" s="12">
        <v>2.6832789421490699E-2</v>
      </c>
      <c r="V167" s="12">
        <v>0.248064258983236</v>
      </c>
      <c r="W167" s="20">
        <v>1.0437312799645799</v>
      </c>
      <c r="X167" s="12">
        <v>0.33498223015404999</v>
      </c>
      <c r="Y167" s="12">
        <v>0.10030495536329399</v>
      </c>
      <c r="Z167" s="12">
        <v>0.11368137318417799</v>
      </c>
      <c r="AA167" s="12">
        <v>1.8094262354392002E-2</v>
      </c>
      <c r="AB167" s="12">
        <v>2.6832789421490699E-2</v>
      </c>
      <c r="AC167" s="20">
        <v>0.59389561047740602</v>
      </c>
      <c r="AD167" s="13">
        <v>-0.44983566948717391</v>
      </c>
      <c r="AE167" s="12">
        <v>0.65949425614475454</v>
      </c>
      <c r="AF167" s="12">
        <v>1.7574322179710524</v>
      </c>
      <c r="AG167" s="21" t="str">
        <f t="shared" si="0"/>
        <v/>
      </c>
    </row>
    <row r="168" spans="1:33" ht="15" x14ac:dyDescent="0.2">
      <c r="A168" s="16" t="s">
        <v>209</v>
      </c>
      <c r="B168" s="7" t="s">
        <v>38</v>
      </c>
      <c r="C168" s="17"/>
      <c r="D168" s="9">
        <v>70.801000000000002</v>
      </c>
      <c r="E168" s="10">
        <v>0.72299999999999998</v>
      </c>
      <c r="F168" s="41">
        <v>4377.6757671775404</v>
      </c>
      <c r="G168" s="6" t="s">
        <v>45</v>
      </c>
      <c r="H168" s="7" t="s">
        <v>36</v>
      </c>
      <c r="I168" s="11">
        <v>0.103196998596191</v>
      </c>
      <c r="J168" s="17"/>
      <c r="K168" s="17"/>
      <c r="L168" s="17"/>
      <c r="M168" s="17"/>
      <c r="N168" s="17"/>
      <c r="O168" s="17"/>
      <c r="P168" s="20">
        <v>1.00229977503106</v>
      </c>
      <c r="Q168" s="17"/>
      <c r="R168" s="17"/>
      <c r="S168" s="17"/>
      <c r="T168" s="17"/>
      <c r="U168" s="17"/>
      <c r="V168" s="17"/>
      <c r="W168" s="20">
        <v>2.9205765244697299</v>
      </c>
      <c r="X168" s="17"/>
      <c r="Y168" s="17"/>
      <c r="Z168" s="17"/>
      <c r="AA168" s="17"/>
      <c r="AB168" s="17"/>
      <c r="AC168" s="20">
        <v>1.0813133855980199</v>
      </c>
      <c r="AD168" s="13">
        <v>-1.83926313887171</v>
      </c>
      <c r="AE168" s="12">
        <v>1.8454016656321359</v>
      </c>
      <c r="AF168" s="12">
        <v>2.7009528998427279</v>
      </c>
      <c r="AG168" s="19">
        <f t="shared" si="0"/>
        <v>197.78891869319438</v>
      </c>
    </row>
    <row r="169" spans="1:33" ht="15" x14ac:dyDescent="0.2">
      <c r="A169" s="16" t="s">
        <v>210</v>
      </c>
      <c r="B169" s="7" t="s">
        <v>56</v>
      </c>
      <c r="C169" s="8">
        <v>63.5</v>
      </c>
      <c r="D169" s="9">
        <v>73.38</v>
      </c>
      <c r="E169" s="10">
        <v>0.79500000000000004</v>
      </c>
      <c r="F169" s="41">
        <v>15161.241954618194</v>
      </c>
      <c r="G169" s="6" t="s">
        <v>39</v>
      </c>
      <c r="H169" s="7" t="s">
        <v>40</v>
      </c>
      <c r="I169" s="11">
        <v>1.38983996582031</v>
      </c>
      <c r="J169" s="12">
        <v>3.9977285635432902E-2</v>
      </c>
      <c r="K169" s="12">
        <v>5.8842311950795603E-3</v>
      </c>
      <c r="L169" s="12">
        <v>9.1549963414800206E-2</v>
      </c>
      <c r="M169" s="12">
        <v>6.0080808080329298E-2</v>
      </c>
      <c r="N169" s="12">
        <v>1.11952561179472E-3</v>
      </c>
      <c r="O169" s="12">
        <v>7.6206819458340798</v>
      </c>
      <c r="P169" s="20">
        <v>7.8192937597715204</v>
      </c>
      <c r="Q169" s="12">
        <v>0.44614712120588401</v>
      </c>
      <c r="R169" s="12">
        <v>0.176773341645518</v>
      </c>
      <c r="S169" s="12">
        <v>0.27720663205035601</v>
      </c>
      <c r="T169" s="12">
        <v>0.101332199024412</v>
      </c>
      <c r="U169" s="12">
        <v>1.11952561179472E-3</v>
      </c>
      <c r="V169" s="12">
        <v>6.4411627077382496</v>
      </c>
      <c r="W169" s="20">
        <v>7.4437415272762104</v>
      </c>
      <c r="X169" s="12">
        <v>3.9977285635432902E-2</v>
      </c>
      <c r="Y169" s="12">
        <v>5.8842311950795603E-3</v>
      </c>
      <c r="Z169" s="12">
        <v>0.13700748439213201</v>
      </c>
      <c r="AA169" s="12">
        <v>1.3146883358536501</v>
      </c>
      <c r="AB169" s="12">
        <v>1.11952561179472E-3</v>
      </c>
      <c r="AC169" s="20">
        <v>1.49867686268809</v>
      </c>
      <c r="AD169" s="13">
        <v>-5.94506466458812</v>
      </c>
      <c r="AE169" s="12">
        <v>4.7034182798770185</v>
      </c>
      <c r="AF169" s="12">
        <v>4.9668755904623776</v>
      </c>
      <c r="AG169" s="19">
        <f t="shared" si="0"/>
        <v>77.603134205946859</v>
      </c>
    </row>
    <row r="170" spans="1:33" ht="15" x14ac:dyDescent="0.2">
      <c r="A170" s="16" t="s">
        <v>211</v>
      </c>
      <c r="B170" s="7" t="s">
        <v>27</v>
      </c>
      <c r="C170" s="8">
        <v>71.400000000000006</v>
      </c>
      <c r="D170" s="9">
        <v>76.504999999999995</v>
      </c>
      <c r="E170" s="10">
        <v>0.73799999999999999</v>
      </c>
      <c r="F170" s="41">
        <v>4408.3715922759593</v>
      </c>
      <c r="G170" s="6" t="s">
        <v>34</v>
      </c>
      <c r="H170" s="7" t="s">
        <v>32</v>
      </c>
      <c r="I170" s="11">
        <v>11.565200195312499</v>
      </c>
      <c r="J170" s="12">
        <v>0.33108379569074498</v>
      </c>
      <c r="K170" s="12">
        <v>7.4862340168564301E-2</v>
      </c>
      <c r="L170" s="12">
        <v>0.135966357566805</v>
      </c>
      <c r="M170" s="12">
        <v>6.3308645623008794E-2</v>
      </c>
      <c r="N170" s="12">
        <v>2.4250610716680301E-2</v>
      </c>
      <c r="O170" s="12">
        <v>0.87320563891249003</v>
      </c>
      <c r="P170" s="20">
        <v>1.50267738867829</v>
      </c>
      <c r="Q170" s="12">
        <v>0.586134481497113</v>
      </c>
      <c r="R170" s="12">
        <v>6.2174459285029099E-2</v>
      </c>
      <c r="S170" s="12">
        <v>0.240719542063736</v>
      </c>
      <c r="T170" s="12">
        <v>6.8424287468418596E-2</v>
      </c>
      <c r="U170" s="12">
        <v>2.4250610716680301E-2</v>
      </c>
      <c r="V170" s="12">
        <v>1.04267623397944</v>
      </c>
      <c r="W170" s="20">
        <v>2.0243796150104099</v>
      </c>
      <c r="X170" s="12">
        <v>0.33108379569074498</v>
      </c>
      <c r="Y170" s="12">
        <v>7.4862340168564301E-2</v>
      </c>
      <c r="Z170" s="12">
        <v>3.3532470727415199E-2</v>
      </c>
      <c r="AA170" s="12">
        <v>0.221814651708267</v>
      </c>
      <c r="AB170" s="12">
        <v>2.4250610716680301E-2</v>
      </c>
      <c r="AC170" s="20">
        <v>0.68554386901167097</v>
      </c>
      <c r="AD170" s="13">
        <v>-1.3388357459987388</v>
      </c>
      <c r="AE170" s="12">
        <v>1.2791287891661172</v>
      </c>
      <c r="AF170" s="12">
        <v>2.9529541529251806</v>
      </c>
      <c r="AG170" s="19">
        <f t="shared" si="0"/>
        <v>285.35046907821442</v>
      </c>
    </row>
    <row r="171" spans="1:33" ht="15" x14ac:dyDescent="0.2">
      <c r="A171" s="16" t="s">
        <v>212</v>
      </c>
      <c r="B171" s="7" t="s">
        <v>27</v>
      </c>
      <c r="C171" s="8">
        <v>70.400000000000006</v>
      </c>
      <c r="D171" s="9">
        <v>77.436999999999998</v>
      </c>
      <c r="E171" s="10">
        <v>0.81699999999999995</v>
      </c>
      <c r="F171" s="41">
        <v>15180.938282559579</v>
      </c>
      <c r="G171" s="6" t="s">
        <v>28</v>
      </c>
      <c r="H171" s="7" t="s">
        <v>32</v>
      </c>
      <c r="I171" s="11">
        <v>82.340101562499996</v>
      </c>
      <c r="J171" s="12">
        <v>0.66230254203861905</v>
      </c>
      <c r="K171" s="12">
        <v>8.6787154793078802E-2</v>
      </c>
      <c r="L171" s="12">
        <v>0.21539553282722301</v>
      </c>
      <c r="M171" s="12">
        <v>2.6390953552174599E-2</v>
      </c>
      <c r="N171" s="12">
        <v>3.3648454589991203E-2</v>
      </c>
      <c r="O171" s="12">
        <v>1.75300216013424</v>
      </c>
      <c r="P171" s="20">
        <v>2.7775267979353302</v>
      </c>
      <c r="Q171" s="12">
        <v>0.76973649445983705</v>
      </c>
      <c r="R171" s="12">
        <v>0.167141099186983</v>
      </c>
      <c r="S171" s="12">
        <v>0.320367190642243</v>
      </c>
      <c r="T171" s="12">
        <v>3.1554188177896202E-2</v>
      </c>
      <c r="U171" s="12">
        <v>3.3648454589991203E-2</v>
      </c>
      <c r="V171" s="12">
        <v>2.02277608029631</v>
      </c>
      <c r="W171" s="20">
        <v>3.3452235073532601</v>
      </c>
      <c r="X171" s="12">
        <v>0.66230254203861905</v>
      </c>
      <c r="Y171" s="12">
        <v>8.6787154793078802E-2</v>
      </c>
      <c r="Z171" s="12">
        <v>0.48252955854292601</v>
      </c>
      <c r="AA171" s="12">
        <v>3.9377100492443098E-2</v>
      </c>
      <c r="AB171" s="12">
        <v>3.3648454589991203E-2</v>
      </c>
      <c r="AC171" s="20">
        <v>1.30464481045706</v>
      </c>
      <c r="AD171" s="13">
        <v>-2.0405786968962003</v>
      </c>
      <c r="AE171" s="12">
        <v>2.1137200072175215</v>
      </c>
      <c r="AF171" s="12">
        <v>2.5640875436290727</v>
      </c>
      <c r="AG171" s="19">
        <f t="shared" si="0"/>
        <v>172.68133847135323</v>
      </c>
    </row>
    <row r="172" spans="1:33" ht="15" x14ac:dyDescent="0.2">
      <c r="A172" s="16" t="s">
        <v>213</v>
      </c>
      <c r="B172" s="7" t="s">
        <v>27</v>
      </c>
      <c r="C172" s="8">
        <v>61.1</v>
      </c>
      <c r="D172" s="9">
        <v>68.072999999999993</v>
      </c>
      <c r="E172" s="10">
        <v>0.71</v>
      </c>
      <c r="F172" s="41">
        <v>7647.9517248406719</v>
      </c>
      <c r="G172" s="6" t="s">
        <v>28</v>
      </c>
      <c r="H172" s="7" t="s">
        <v>36</v>
      </c>
      <c r="I172" s="11">
        <v>5.85089990234375</v>
      </c>
      <c r="J172" s="12">
        <v>0.36567913536798302</v>
      </c>
      <c r="K172" s="12">
        <v>0.50885636907519705</v>
      </c>
      <c r="L172" s="12">
        <v>6.4460334432745695E-4</v>
      </c>
      <c r="M172" s="12">
        <v>3.3815561021334401E-3</v>
      </c>
      <c r="N172" s="12">
        <v>6.06409343760025E-2</v>
      </c>
      <c r="O172" s="12">
        <v>4.1405856657452196</v>
      </c>
      <c r="P172" s="20">
        <v>5.07978826401086</v>
      </c>
      <c r="Q172" s="12">
        <v>0.43075665862141899</v>
      </c>
      <c r="R172" s="12">
        <v>0.39489363458108301</v>
      </c>
      <c r="S172" s="12">
        <v>2.67565251937915E-2</v>
      </c>
      <c r="T172" s="12">
        <v>4.9506988582504003E-3</v>
      </c>
      <c r="U172" s="12">
        <v>6.06409343760025E-2</v>
      </c>
      <c r="V172" s="12">
        <v>3.97890944841757</v>
      </c>
      <c r="W172" s="20">
        <v>4.8969079000481202</v>
      </c>
      <c r="X172" s="12">
        <v>0.36567913536798302</v>
      </c>
      <c r="Y172" s="12">
        <v>1.73275022596252</v>
      </c>
      <c r="Z172" s="12">
        <v>1.3023050145448601E-2</v>
      </c>
      <c r="AA172" s="12">
        <v>0.11319273850150401</v>
      </c>
      <c r="AB172" s="12">
        <v>6.06409343760025E-2</v>
      </c>
      <c r="AC172" s="20">
        <v>2.2852860843534599</v>
      </c>
      <c r="AD172" s="13">
        <v>-2.6116218156946602</v>
      </c>
      <c r="AE172" s="12">
        <v>3.094170592512282</v>
      </c>
      <c r="AF172" s="12">
        <v>2.1427986340859051</v>
      </c>
      <c r="AG172" s="19">
        <f t="shared" si="0"/>
        <v>117.96376091327329</v>
      </c>
    </row>
    <row r="173" spans="1:33" ht="15" x14ac:dyDescent="0.2">
      <c r="A173" s="16" t="s">
        <v>214</v>
      </c>
      <c r="B173" s="7" t="s">
        <v>27</v>
      </c>
      <c r="C173" s="8">
        <v>53.5</v>
      </c>
      <c r="D173" s="9">
        <v>62.972999999999999</v>
      </c>
      <c r="E173" s="10">
        <v>0.53800000000000003</v>
      </c>
      <c r="F173" s="41">
        <v>933.71480727374637</v>
      </c>
      <c r="G173" s="6" t="s">
        <v>34</v>
      </c>
      <c r="H173" s="7" t="s">
        <v>29</v>
      </c>
      <c r="I173" s="11">
        <v>42.729000000000099</v>
      </c>
      <c r="J173" s="12">
        <v>0.26147291055837701</v>
      </c>
      <c r="K173" s="12">
        <v>0.12793237461639101</v>
      </c>
      <c r="L173" s="12">
        <v>0.47255923996005</v>
      </c>
      <c r="M173" s="12">
        <v>8.4023737444917299E-2</v>
      </c>
      <c r="N173" s="12">
        <v>3.3276018827916497E-2</v>
      </c>
      <c r="O173" s="12">
        <v>4.38086794696457E-2</v>
      </c>
      <c r="P173" s="20">
        <v>1.0230729608772999</v>
      </c>
      <c r="Q173" s="12">
        <v>0.23041611756227001</v>
      </c>
      <c r="R173" s="12">
        <v>0.126405170933445</v>
      </c>
      <c r="S173" s="12">
        <v>0.480022812558492</v>
      </c>
      <c r="T173" s="12">
        <v>8.0284217240336297E-2</v>
      </c>
      <c r="U173" s="12">
        <v>3.3276018827916497E-2</v>
      </c>
      <c r="V173" s="12">
        <v>0.10855228115834401</v>
      </c>
      <c r="W173" s="20">
        <v>1.0589566182807999</v>
      </c>
      <c r="X173" s="12">
        <v>0.26147291055837701</v>
      </c>
      <c r="Y173" s="12">
        <v>0.12793237461639101</v>
      </c>
      <c r="Z173" s="12">
        <v>9.3940184201830399E-3</v>
      </c>
      <c r="AA173" s="12">
        <v>3.4999762386088998E-2</v>
      </c>
      <c r="AB173" s="12">
        <v>3.3276018827916497E-2</v>
      </c>
      <c r="AC173" s="20">
        <v>0.46707508480895599</v>
      </c>
      <c r="AD173" s="13">
        <v>-0.59188153347184391</v>
      </c>
      <c r="AE173" s="12">
        <v>0.66911457064538771</v>
      </c>
      <c r="AF173" s="12">
        <v>2.2672085339639483</v>
      </c>
      <c r="AG173" s="21" t="str">
        <f t="shared" si="0"/>
        <v/>
      </c>
    </row>
    <row r="174" spans="1:33" ht="15" x14ac:dyDescent="0.2">
      <c r="A174" s="16" t="s">
        <v>215</v>
      </c>
      <c r="B174" s="7" t="s">
        <v>56</v>
      </c>
      <c r="C174" s="8">
        <v>75.5</v>
      </c>
      <c r="D174" s="9">
        <v>71.582700000000003</v>
      </c>
      <c r="E174" s="10">
        <v>0.77400000000000002</v>
      </c>
      <c r="F174" s="41">
        <v>2960.7062824163968</v>
      </c>
      <c r="G174" s="6" t="s">
        <v>31</v>
      </c>
      <c r="H174" s="7" t="s">
        <v>36</v>
      </c>
      <c r="I174" s="11">
        <v>44.246199218749801</v>
      </c>
      <c r="J174" s="12">
        <v>1.9314427682306701</v>
      </c>
      <c r="K174" s="12">
        <v>5.6474399702547999E-3</v>
      </c>
      <c r="L174" s="12">
        <v>0.23215350378899599</v>
      </c>
      <c r="M174" s="12">
        <v>2.5939269521236801E-3</v>
      </c>
      <c r="N174" s="12">
        <v>8.4371418065298104E-2</v>
      </c>
      <c r="O174" s="12">
        <v>1.5392119128770601</v>
      </c>
      <c r="P174" s="20">
        <v>3.7954209698843999</v>
      </c>
      <c r="Q174" s="12">
        <v>0.63445590252819495</v>
      </c>
      <c r="R174" s="12">
        <v>1.2092626310670001E-2</v>
      </c>
      <c r="S174" s="12">
        <v>0.19081975912583901</v>
      </c>
      <c r="T174" s="12">
        <v>6.18532292643202E-2</v>
      </c>
      <c r="U174" s="12">
        <v>8.4371418065298104E-2</v>
      </c>
      <c r="V174" s="12">
        <v>1.4391799545723301</v>
      </c>
      <c r="W174" s="20">
        <v>2.4227728898666498</v>
      </c>
      <c r="X174" s="12">
        <v>1.9314427682306701</v>
      </c>
      <c r="Y174" s="12">
        <v>0.13846801784114399</v>
      </c>
      <c r="Z174" s="12">
        <v>0.42961728569144397</v>
      </c>
      <c r="AA174" s="12">
        <v>0.154235642855201</v>
      </c>
      <c r="AB174" s="12">
        <v>8.4371418065298104E-2</v>
      </c>
      <c r="AC174" s="20">
        <v>2.73813513268375</v>
      </c>
      <c r="AD174" s="13">
        <v>0.31536224281710012</v>
      </c>
      <c r="AE174" s="12">
        <v>1.530858407218098</v>
      </c>
      <c r="AF174" s="12">
        <v>0.88482590247180326</v>
      </c>
      <c r="AG174" s="19">
        <f t="shared" si="0"/>
        <v>238.42832118176378</v>
      </c>
    </row>
    <row r="175" spans="1:33" ht="15" x14ac:dyDescent="0.2">
      <c r="A175" s="16" t="s">
        <v>216</v>
      </c>
      <c r="B175" s="7" t="s">
        <v>27</v>
      </c>
      <c r="C175" s="8">
        <v>70.2</v>
      </c>
      <c r="D175" s="9">
        <v>77.813999999999993</v>
      </c>
      <c r="E175" s="10">
        <v>0.88900000000000001</v>
      </c>
      <c r="F175" s="41">
        <v>41325.060182397203</v>
      </c>
      <c r="G175" s="6" t="s">
        <v>28</v>
      </c>
      <c r="H175" s="7" t="s">
        <v>40</v>
      </c>
      <c r="I175" s="11">
        <v>9.6309599609374992</v>
      </c>
      <c r="J175" s="12">
        <v>1.9533248701512601E-2</v>
      </c>
      <c r="K175" s="12">
        <v>1.14010612468228E-3</v>
      </c>
      <c r="L175" s="12">
        <v>7.3805355391213503E-4</v>
      </c>
      <c r="M175" s="12">
        <v>0.13832113831897999</v>
      </c>
      <c r="N175" s="12">
        <v>0</v>
      </c>
      <c r="O175" s="12">
        <v>6.4194202058894803</v>
      </c>
      <c r="P175" s="20">
        <v>6.5791527525885503</v>
      </c>
      <c r="Q175" s="12">
        <v>0.91614962473209205</v>
      </c>
      <c r="R175" s="12">
        <v>0.553406103946956</v>
      </c>
      <c r="S175" s="12">
        <v>0.40913052441465397</v>
      </c>
      <c r="T175" s="12">
        <v>0.27773801725239899</v>
      </c>
      <c r="U175" s="12">
        <v>0</v>
      </c>
      <c r="V175" s="12">
        <v>5.9397943743091304</v>
      </c>
      <c r="W175" s="20">
        <v>8.0962186446552291</v>
      </c>
      <c r="X175" s="12">
        <v>1.9533248701512601E-2</v>
      </c>
      <c r="Y175" s="12">
        <v>1.14010612468228E-3</v>
      </c>
      <c r="Z175" s="12">
        <v>6.0745376924694103E-2</v>
      </c>
      <c r="AA175" s="12">
        <v>0.43579148972918003</v>
      </c>
      <c r="AB175" s="12">
        <v>0</v>
      </c>
      <c r="AC175" s="20">
        <v>0.51721022148006901</v>
      </c>
      <c r="AD175" s="13">
        <v>-7.5790084231751598</v>
      </c>
      <c r="AE175" s="12">
        <v>5.1156938525626936</v>
      </c>
      <c r="AF175" s="12">
        <v>15.65363233055753</v>
      </c>
      <c r="AG175" s="19">
        <f t="shared" si="0"/>
        <v>71.349070237491674</v>
      </c>
    </row>
    <row r="176" spans="1:33" ht="15" x14ac:dyDescent="0.2">
      <c r="A176" s="16" t="s">
        <v>217</v>
      </c>
      <c r="B176" s="7" t="s">
        <v>27</v>
      </c>
      <c r="C176" s="8">
        <v>80</v>
      </c>
      <c r="D176" s="9">
        <v>81.256100000000004</v>
      </c>
      <c r="E176" s="10">
        <v>0.92800000000000005</v>
      </c>
      <c r="F176" s="41">
        <v>42894.35426799058</v>
      </c>
      <c r="G176" s="6" t="s">
        <v>47</v>
      </c>
      <c r="H176" s="7" t="s">
        <v>40</v>
      </c>
      <c r="I176" s="11">
        <v>67.141703125000006</v>
      </c>
      <c r="J176" s="12">
        <v>0.39724859655707101</v>
      </c>
      <c r="K176" s="12">
        <v>0.10270446827270099</v>
      </c>
      <c r="L176" s="12">
        <v>0.103554521028872</v>
      </c>
      <c r="M176" s="12">
        <v>9.3811480821745105E-2</v>
      </c>
      <c r="N176" s="12">
        <v>0.12623625833096999</v>
      </c>
      <c r="O176" s="12">
        <v>1.8475456598067701</v>
      </c>
      <c r="P176" s="20">
        <v>2.6711009848181302</v>
      </c>
      <c r="Q176" s="12">
        <v>0.69864058164532405</v>
      </c>
      <c r="R176" s="12">
        <v>0.25519311018371998</v>
      </c>
      <c r="S176" s="12">
        <v>0.44334306130273299</v>
      </c>
      <c r="T176" s="12">
        <v>8.3561728311577904E-2</v>
      </c>
      <c r="U176" s="12">
        <v>0.12623625833096999</v>
      </c>
      <c r="V176" s="12">
        <v>2.5723490384655401</v>
      </c>
      <c r="W176" s="20">
        <v>4.17932377823987</v>
      </c>
      <c r="X176" s="12">
        <v>0.39724859655707101</v>
      </c>
      <c r="Y176" s="12">
        <v>0.10270446827270099</v>
      </c>
      <c r="Z176" s="12">
        <v>0.116913489984732</v>
      </c>
      <c r="AA176" s="12">
        <v>0.284563164630035</v>
      </c>
      <c r="AB176" s="12">
        <v>0.12623625833096999</v>
      </c>
      <c r="AC176" s="20">
        <v>1.0276659777755099</v>
      </c>
      <c r="AD176" s="13">
        <v>-3.1516578004643598</v>
      </c>
      <c r="AE176" s="12">
        <v>2.6407563701759749</v>
      </c>
      <c r="AF176" s="12">
        <v>4.0668114626957408</v>
      </c>
      <c r="AG176" s="19">
        <f t="shared" si="0"/>
        <v>138.21797577475013</v>
      </c>
    </row>
    <row r="177" spans="1:33" ht="15" x14ac:dyDescent="0.2">
      <c r="A177" s="16" t="s">
        <v>218</v>
      </c>
      <c r="B177" s="7" t="s">
        <v>27</v>
      </c>
      <c r="C177" s="8">
        <v>76</v>
      </c>
      <c r="D177" s="9">
        <v>78.638999999999996</v>
      </c>
      <c r="E177" s="10">
        <v>0.92500000000000004</v>
      </c>
      <c r="F177" s="41">
        <v>54723.995401961503</v>
      </c>
      <c r="G177" s="6" t="s">
        <v>71</v>
      </c>
      <c r="H177" s="7" t="s">
        <v>40</v>
      </c>
      <c r="I177" s="11">
        <v>327.096</v>
      </c>
      <c r="J177" s="12">
        <v>1.2574972796325199</v>
      </c>
      <c r="K177" s="12">
        <v>0.25162070685124599</v>
      </c>
      <c r="L177" s="12">
        <v>0.91530507786683202</v>
      </c>
      <c r="M177" s="12">
        <v>9.8262233481240996E-2</v>
      </c>
      <c r="N177" s="12">
        <v>7.2305929949469799E-2</v>
      </c>
      <c r="O177" s="12">
        <v>5.22836359817431</v>
      </c>
      <c r="P177" s="20">
        <v>7.8233548259556196</v>
      </c>
      <c r="Q177" s="12">
        <v>0.93799164946407498</v>
      </c>
      <c r="R177" s="12">
        <v>0.28909238874654603</v>
      </c>
      <c r="S177" s="12">
        <v>0.92173806604994901</v>
      </c>
      <c r="T177" s="12">
        <v>0.12788975300921501</v>
      </c>
      <c r="U177" s="12">
        <v>7.2305929949469799E-2</v>
      </c>
      <c r="V177" s="12">
        <v>5.7733653376440301</v>
      </c>
      <c r="W177" s="20">
        <v>8.1223831248632798</v>
      </c>
      <c r="X177" s="12">
        <v>1.2574972796325099</v>
      </c>
      <c r="Y177" s="12">
        <v>0.25162070685124599</v>
      </c>
      <c r="Z177" s="12">
        <v>1.48439474272712</v>
      </c>
      <c r="AA177" s="12">
        <v>0.32008382590127998</v>
      </c>
      <c r="AB177" s="12">
        <v>7.2305929949469799E-2</v>
      </c>
      <c r="AC177" s="20">
        <v>3.3859024850616302</v>
      </c>
      <c r="AD177" s="13">
        <v>-4.7364806398016501</v>
      </c>
      <c r="AE177" s="12">
        <v>5.1322261964173377</v>
      </c>
      <c r="AF177" s="12">
        <v>2.3988827677993321</v>
      </c>
      <c r="AG177" s="19">
        <f t="shared" si="0"/>
        <v>71.119234817591675</v>
      </c>
    </row>
    <row r="178" spans="1:33" ht="15" x14ac:dyDescent="0.2">
      <c r="A178" s="16" t="s">
        <v>219</v>
      </c>
      <c r="B178" s="7" t="s">
        <v>27</v>
      </c>
      <c r="C178" s="8">
        <v>74.5</v>
      </c>
      <c r="D178" s="9">
        <v>77.77</v>
      </c>
      <c r="E178" s="10">
        <v>0.81599999999999995</v>
      </c>
      <c r="F178" s="41">
        <v>14617.543247214457</v>
      </c>
      <c r="G178" s="6" t="s">
        <v>42</v>
      </c>
      <c r="H178" s="7" t="s">
        <v>32</v>
      </c>
      <c r="I178" s="11">
        <v>3.44928002929686</v>
      </c>
      <c r="J178" s="12">
        <v>0.98963972521195798</v>
      </c>
      <c r="K178" s="12">
        <v>4.2046666131813097</v>
      </c>
      <c r="L178" s="12">
        <v>3.1819536258069001</v>
      </c>
      <c r="M178" s="12">
        <v>0.18254087519067499</v>
      </c>
      <c r="N178" s="12">
        <v>9.9627801466276297E-2</v>
      </c>
      <c r="O178" s="12">
        <v>0.64356636961987601</v>
      </c>
      <c r="P178" s="20">
        <v>9.3019950104770004</v>
      </c>
      <c r="Q178" s="12">
        <v>0.14961007671645901</v>
      </c>
      <c r="R178" s="12">
        <v>6.6018928174690406E-2</v>
      </c>
      <c r="S178" s="12">
        <v>0.27690918371445999</v>
      </c>
      <c r="T178" s="12">
        <v>6.7655471370228107E-2</v>
      </c>
      <c r="U178" s="12">
        <v>9.9627801466276297E-2</v>
      </c>
      <c r="V178" s="12">
        <v>0.59879905626986296</v>
      </c>
      <c r="W178" s="20">
        <v>1.25862051771198</v>
      </c>
      <c r="X178" s="12">
        <v>0.98963972521195798</v>
      </c>
      <c r="Y178" s="12">
        <v>4.77702080239695</v>
      </c>
      <c r="Z178" s="12">
        <v>1.30696681481338</v>
      </c>
      <c r="AA178" s="12">
        <v>2.1474200065767701</v>
      </c>
      <c r="AB178" s="12">
        <v>9.9627801466276297E-2</v>
      </c>
      <c r="AC178" s="20">
        <v>9.3206751504653305</v>
      </c>
      <c r="AD178" s="13">
        <v>8.06205463275335</v>
      </c>
      <c r="AE178" s="12">
        <v>0.79527462482982858</v>
      </c>
      <c r="AF178" s="12">
        <v>0.13503533782626723</v>
      </c>
      <c r="AG178" s="21" t="str">
        <f t="shared" si="0"/>
        <v/>
      </c>
    </row>
    <row r="179" spans="1:33" ht="15" x14ac:dyDescent="0.2">
      <c r="A179" s="16" t="s">
        <v>220</v>
      </c>
      <c r="B179" s="7" t="s">
        <v>27</v>
      </c>
      <c r="C179" s="8">
        <v>69.8</v>
      </c>
      <c r="D179" s="9">
        <v>71.572999999999993</v>
      </c>
      <c r="E179" s="10">
        <v>0.71699999999999997</v>
      </c>
      <c r="F179" s="41">
        <v>2408.6100554167856</v>
      </c>
      <c r="G179" s="6" t="s">
        <v>28</v>
      </c>
      <c r="H179" s="7" t="s">
        <v>36</v>
      </c>
      <c r="I179" s="11">
        <v>32.476199218749997</v>
      </c>
      <c r="J179" s="12">
        <v>0.36452548106456401</v>
      </c>
      <c r="K179" s="12">
        <v>0.164675768301137</v>
      </c>
      <c r="L179" s="12">
        <v>4.9239754887701501E-4</v>
      </c>
      <c r="M179" s="12">
        <v>5.8120856554621202E-3</v>
      </c>
      <c r="N179" s="12">
        <v>6.3724606809672499E-2</v>
      </c>
      <c r="O179" s="12">
        <v>1.18653412151283</v>
      </c>
      <c r="P179" s="20">
        <v>1.78576446089254</v>
      </c>
      <c r="Q179" s="12">
        <v>0.44658563018825798</v>
      </c>
      <c r="R179" s="12">
        <v>0.16446525357049999</v>
      </c>
      <c r="S179" s="12">
        <v>8.85336448560788E-2</v>
      </c>
      <c r="T179" s="12">
        <v>7.1247826848828202E-3</v>
      </c>
      <c r="U179" s="12">
        <v>6.3724606809672499E-2</v>
      </c>
      <c r="V179" s="12">
        <v>1.2679329341147201</v>
      </c>
      <c r="W179" s="20">
        <v>2.0383668522241098</v>
      </c>
      <c r="X179" s="12">
        <v>0.36452548106456401</v>
      </c>
      <c r="Y179" s="12">
        <v>0.164675768301137</v>
      </c>
      <c r="Z179" s="12">
        <v>5.6411739102843701E-2</v>
      </c>
      <c r="AA179" s="12">
        <v>9.3927914343504906E-3</v>
      </c>
      <c r="AB179" s="12">
        <v>6.3724606809672499E-2</v>
      </c>
      <c r="AC179" s="20">
        <v>0.65873038671256801</v>
      </c>
      <c r="AD179" s="13">
        <v>-1.3796364655115418</v>
      </c>
      <c r="AE179" s="12">
        <v>1.2879667944830435</v>
      </c>
      <c r="AF179" s="12">
        <v>3.0943871625486978</v>
      </c>
      <c r="AG179" s="19">
        <f t="shared" si="0"/>
        <v>283.39239921670617</v>
      </c>
    </row>
    <row r="180" spans="1:33" ht="15" x14ac:dyDescent="0.2">
      <c r="A180" s="16" t="s">
        <v>221</v>
      </c>
      <c r="B180" s="7" t="s">
        <v>222</v>
      </c>
      <c r="C180" s="8">
        <v>60.5</v>
      </c>
      <c r="D180" s="9">
        <v>70.322999999999993</v>
      </c>
      <c r="E180" s="10">
        <v>0.60299999999999998</v>
      </c>
      <c r="F180" s="41">
        <v>2864.828553309515</v>
      </c>
      <c r="G180" s="6" t="s">
        <v>45</v>
      </c>
      <c r="H180" s="7" t="s">
        <v>36</v>
      </c>
      <c r="I180" s="11">
        <v>0.29267999267578199</v>
      </c>
      <c r="J180" s="17"/>
      <c r="K180" s="17"/>
      <c r="L180" s="17"/>
      <c r="M180" s="17"/>
      <c r="N180" s="17"/>
      <c r="O180" s="17"/>
      <c r="P180" s="24"/>
      <c r="Q180" s="17"/>
      <c r="R180" s="17"/>
      <c r="S180" s="17"/>
      <c r="T180" s="17"/>
      <c r="U180" s="17"/>
      <c r="V180" s="17"/>
      <c r="W180" s="24"/>
      <c r="X180" s="17"/>
      <c r="Y180" s="17"/>
      <c r="Z180" s="17"/>
      <c r="AA180" s="17"/>
      <c r="AB180" s="17"/>
      <c r="AC180" s="24"/>
      <c r="AD180" s="25"/>
      <c r="AE180" s="24"/>
      <c r="AF180" s="24"/>
      <c r="AG180" s="26"/>
    </row>
    <row r="181" spans="1:33" ht="15" x14ac:dyDescent="0.2">
      <c r="A181" s="16" t="s">
        <v>223</v>
      </c>
      <c r="B181" s="7" t="s">
        <v>27</v>
      </c>
      <c r="C181" s="8">
        <v>59.3</v>
      </c>
      <c r="D181" s="9">
        <v>72.128</v>
      </c>
      <c r="E181" s="10">
        <v>0.73299999999999998</v>
      </c>
      <c r="F181" s="41" t="s">
        <v>88</v>
      </c>
      <c r="G181" s="6" t="s">
        <v>42</v>
      </c>
      <c r="H181" s="7" t="s">
        <v>32</v>
      </c>
      <c r="I181" s="11">
        <v>28.887099609374999</v>
      </c>
      <c r="J181" s="12">
        <v>0.114158454304776</v>
      </c>
      <c r="K181" s="12">
        <v>0.59264438453806101</v>
      </c>
      <c r="L181" s="12">
        <v>8.7835907175553299E-2</v>
      </c>
      <c r="M181" s="12">
        <v>7.9451499760942706E-2</v>
      </c>
      <c r="N181" s="12">
        <v>2.9451532859156301E-2</v>
      </c>
      <c r="O181" s="12">
        <v>1.3861022878942799</v>
      </c>
      <c r="P181" s="20">
        <v>2.28964406653277</v>
      </c>
      <c r="Q181" s="12">
        <v>0.28513850652703199</v>
      </c>
      <c r="R181" s="12">
        <v>0.62175422655341195</v>
      </c>
      <c r="S181" s="12">
        <v>8.8229741786993596E-2</v>
      </c>
      <c r="T181" s="12">
        <v>7.6397733684798394E-2</v>
      </c>
      <c r="U181" s="12">
        <v>2.9451532859156301E-2</v>
      </c>
      <c r="V181" s="12">
        <v>1.29064062318338</v>
      </c>
      <c r="W181" s="20">
        <v>2.3916123645947698</v>
      </c>
      <c r="X181" s="12">
        <v>0.114158454304776</v>
      </c>
      <c r="Y181" s="12">
        <v>0.59264438453806101</v>
      </c>
      <c r="Z181" s="12">
        <v>1.7734748568074501</v>
      </c>
      <c r="AA181" s="12">
        <v>0.25073589955766801</v>
      </c>
      <c r="AB181" s="12">
        <v>2.9451532859156301E-2</v>
      </c>
      <c r="AC181" s="20">
        <v>2.7604651280671102</v>
      </c>
      <c r="AD181" s="13">
        <v>0.36885276347234042</v>
      </c>
      <c r="AE181" s="20">
        <v>1.5111692517527604</v>
      </c>
      <c r="AF181" s="20">
        <v>0.86638021262358322</v>
      </c>
      <c r="AG181" s="27">
        <f t="shared" ref="AG181:AG183" si="1">IF(AE181&lt;1,"",$AH$5+(365/AE181))</f>
        <v>241.53482449212578</v>
      </c>
    </row>
    <row r="182" spans="1:33" ht="15" x14ac:dyDescent="0.2">
      <c r="A182" s="16" t="s">
        <v>224</v>
      </c>
      <c r="B182" s="7" t="s">
        <v>27</v>
      </c>
      <c r="C182" s="8">
        <v>72.8</v>
      </c>
      <c r="D182" s="9">
        <v>75.316999999999993</v>
      </c>
      <c r="E182" s="10">
        <v>0.7</v>
      </c>
      <c r="F182" s="41">
        <v>1967.638624327549</v>
      </c>
      <c r="G182" s="6" t="s">
        <v>45</v>
      </c>
      <c r="H182" s="7" t="s">
        <v>36</v>
      </c>
      <c r="I182" s="11">
        <v>95.546000000000006</v>
      </c>
      <c r="J182" s="12">
        <v>0.52503470575798705</v>
      </c>
      <c r="K182" s="12">
        <v>3.57402395812837E-3</v>
      </c>
      <c r="L182" s="12">
        <v>0.35011628310188603</v>
      </c>
      <c r="M182" s="12">
        <v>9.2554996103157594E-2</v>
      </c>
      <c r="N182" s="12">
        <v>9.1484041299847496E-2</v>
      </c>
      <c r="O182" s="12">
        <v>0.95697405838400795</v>
      </c>
      <c r="P182" s="20">
        <v>2.0197381086050101</v>
      </c>
      <c r="Q182" s="12">
        <v>0.51352521116564798</v>
      </c>
      <c r="R182" s="12">
        <v>2.7343547756348899E-2</v>
      </c>
      <c r="S182" s="12">
        <v>0.42515543531637201</v>
      </c>
      <c r="T182" s="12">
        <v>7.4244515241700199E-2</v>
      </c>
      <c r="U182" s="12">
        <v>9.1484041299847496E-2</v>
      </c>
      <c r="V182" s="12">
        <v>1.14039291870685</v>
      </c>
      <c r="W182" s="20">
        <v>2.2721456694867599</v>
      </c>
      <c r="X182" s="12">
        <v>0.52503470575798705</v>
      </c>
      <c r="Y182" s="12">
        <v>9.0053323623754695E-3</v>
      </c>
      <c r="Z182" s="12">
        <v>0.159298644955257</v>
      </c>
      <c r="AA182" s="12">
        <v>0.15351088516859901</v>
      </c>
      <c r="AB182" s="12">
        <v>9.1484041299847496E-2</v>
      </c>
      <c r="AC182" s="20">
        <v>0.93833360954406597</v>
      </c>
      <c r="AD182" s="13">
        <v>-1.3338120599426939</v>
      </c>
      <c r="AE182" s="20">
        <v>1.4356827728699939</v>
      </c>
      <c r="AF182" s="20">
        <v>2.4214689172124935</v>
      </c>
      <c r="AG182" s="27">
        <f t="shared" si="1"/>
        <v>254.23443597525986</v>
      </c>
    </row>
    <row r="183" spans="1:33" ht="15" x14ac:dyDescent="0.2">
      <c r="A183" s="16" t="s">
        <v>225</v>
      </c>
      <c r="B183" s="7" t="s">
        <v>27</v>
      </c>
      <c r="C183" s="8">
        <v>52.9</v>
      </c>
      <c r="D183" s="9">
        <v>66.096000000000004</v>
      </c>
      <c r="E183" s="10">
        <v>0.46800000000000003</v>
      </c>
      <c r="F183" s="41">
        <v>632.90958866406822</v>
      </c>
      <c r="G183" s="6" t="s">
        <v>28</v>
      </c>
      <c r="H183" s="7" t="s">
        <v>36</v>
      </c>
      <c r="I183" s="11">
        <v>28.498699218749898</v>
      </c>
      <c r="J183" s="12">
        <v>4.1438868404269802E-2</v>
      </c>
      <c r="K183" s="12">
        <v>0.10123471339368199</v>
      </c>
      <c r="L183" s="12">
        <v>7.6590020190493496E-3</v>
      </c>
      <c r="M183" s="12">
        <v>4.8568256395176201E-2</v>
      </c>
      <c r="N183" s="12">
        <v>2.4911484985337799E-2</v>
      </c>
      <c r="O183" s="12">
        <v>0.10924980386271201</v>
      </c>
      <c r="P183" s="20">
        <v>0.33306212906022697</v>
      </c>
      <c r="Q183" s="12">
        <v>0.16804114346363599</v>
      </c>
      <c r="R183" s="12">
        <v>0.10865166860115</v>
      </c>
      <c r="S183" s="12">
        <v>2.0444659417054301E-2</v>
      </c>
      <c r="T183" s="12">
        <v>3.3403326898751001E-2</v>
      </c>
      <c r="U183" s="12">
        <v>2.4911484985337799E-2</v>
      </c>
      <c r="V183" s="12">
        <v>0.153089424637954</v>
      </c>
      <c r="W183" s="20">
        <v>0.50854170800388299</v>
      </c>
      <c r="X183" s="20">
        <v>4.1438868404269802E-2</v>
      </c>
      <c r="Y183" s="20">
        <v>0.10123471339368199</v>
      </c>
      <c r="Z183" s="20">
        <v>3.5518943813929497E-2</v>
      </c>
      <c r="AA183" s="20">
        <v>0.171547310135923</v>
      </c>
      <c r="AB183" s="20">
        <v>2.4911484985337799E-2</v>
      </c>
      <c r="AC183" s="20">
        <v>0.374651320733143</v>
      </c>
      <c r="AD183" s="13">
        <v>-0.13389038727073999</v>
      </c>
      <c r="AE183" s="20">
        <v>0.32132824020564493</v>
      </c>
      <c r="AF183" s="20">
        <v>1.3573733225035327</v>
      </c>
      <c r="AG183" s="26" t="str">
        <f t="shared" si="1"/>
        <v/>
      </c>
    </row>
    <row r="184" spans="1:33" ht="15" x14ac:dyDescent="0.2">
      <c r="A184" s="16" t="s">
        <v>226</v>
      </c>
      <c r="B184" s="7" t="s">
        <v>27</v>
      </c>
      <c r="C184" s="8">
        <v>53.4</v>
      </c>
      <c r="D184" s="22" t="s">
        <v>103</v>
      </c>
      <c r="E184" s="10">
        <v>0.58199999999999996</v>
      </c>
      <c r="F184" s="41">
        <v>1678.1814641262492</v>
      </c>
      <c r="G184" s="6" t="s">
        <v>34</v>
      </c>
      <c r="H184" s="7" t="s">
        <v>36</v>
      </c>
      <c r="I184" s="11">
        <v>17.3516992187499</v>
      </c>
      <c r="J184" s="12">
        <v>0.22054557808757499</v>
      </c>
      <c r="K184" s="12">
        <v>0.13064325759145301</v>
      </c>
      <c r="L184" s="12">
        <v>0.60830079866846698</v>
      </c>
      <c r="M184" s="12">
        <v>8.6659324156334698E-3</v>
      </c>
      <c r="N184" s="12">
        <v>4.3482953662260501E-2</v>
      </c>
      <c r="O184" s="12">
        <v>0.157293988844322</v>
      </c>
      <c r="P184" s="20">
        <v>1.16893250926971</v>
      </c>
      <c r="Q184" s="20">
        <v>0.20705703427885799</v>
      </c>
      <c r="R184" s="20">
        <v>0.130973906355631</v>
      </c>
      <c r="S184" s="20">
        <v>0.61515517209063197</v>
      </c>
      <c r="T184" s="20">
        <v>5.1749502634542401E-2</v>
      </c>
      <c r="U184" s="20">
        <v>4.3482953662260501E-2</v>
      </c>
      <c r="V184" s="20">
        <v>0.235610439023934</v>
      </c>
      <c r="W184" s="20">
        <v>1.2840290080458601</v>
      </c>
      <c r="X184" s="20">
        <v>0.22054557808757499</v>
      </c>
      <c r="Y184" s="20">
        <v>0.76021489199771797</v>
      </c>
      <c r="Z184" s="20">
        <v>0.71984451324775101</v>
      </c>
      <c r="AA184" s="20">
        <v>1.93675737405627E-2</v>
      </c>
      <c r="AB184" s="20">
        <v>4.3482953662260501E-2</v>
      </c>
      <c r="AC184" s="20">
        <v>1.76345551073587</v>
      </c>
      <c r="AD184" s="13">
        <v>0.47942650269000997</v>
      </c>
      <c r="AE184" s="20">
        <v>0.81132928732214371</v>
      </c>
      <c r="AF184" s="20">
        <v>0.72813235164069967</v>
      </c>
      <c r="AG184" s="26"/>
    </row>
    <row r="185" spans="1:33" ht="15" x14ac:dyDescent="0.2">
      <c r="A185" s="28" t="s">
        <v>227</v>
      </c>
      <c r="B185" s="29" t="s">
        <v>27</v>
      </c>
      <c r="C185" s="30">
        <v>58.7</v>
      </c>
      <c r="D185" s="31" t="s">
        <v>103</v>
      </c>
      <c r="E185" s="32">
        <v>0.56899999999999995</v>
      </c>
      <c r="F185" s="44">
        <v>1305.8010537606497</v>
      </c>
      <c r="G185" s="33" t="s">
        <v>34</v>
      </c>
      <c r="H185" s="29" t="s">
        <v>29</v>
      </c>
      <c r="I185" s="34">
        <v>14.4387998046875</v>
      </c>
      <c r="J185" s="35">
        <v>0.152608386369051</v>
      </c>
      <c r="K185" s="35">
        <v>0.301816497692032</v>
      </c>
      <c r="L185" s="35">
        <v>0.272790171192138</v>
      </c>
      <c r="M185" s="35">
        <v>1.7659736805847601E-3</v>
      </c>
      <c r="N185" s="35">
        <v>2.3204515166135201E-2</v>
      </c>
      <c r="O185" s="35">
        <v>0.29360379340168702</v>
      </c>
      <c r="P185" s="36">
        <v>1.0457893375016301</v>
      </c>
      <c r="Q185" s="36">
        <v>0.19339808663354999</v>
      </c>
      <c r="R185" s="36">
        <v>0.30334937592752698</v>
      </c>
      <c r="S185" s="36">
        <v>0.28517649664774303</v>
      </c>
      <c r="T185" s="36">
        <v>7.2242083384848098E-3</v>
      </c>
      <c r="U185" s="36">
        <v>2.3204515166135201E-2</v>
      </c>
      <c r="V185" s="36">
        <v>0.40333563260815197</v>
      </c>
      <c r="W185" s="36">
        <v>1.2156883153215901</v>
      </c>
      <c r="X185" s="36">
        <v>0.152608386369051</v>
      </c>
      <c r="Y185" s="36">
        <v>0.301816497692032</v>
      </c>
      <c r="Z185" s="36">
        <v>0.13427996265249401</v>
      </c>
      <c r="AA185" s="36">
        <v>9.8703367624893307E-3</v>
      </c>
      <c r="AB185" s="36">
        <v>2.3204515166135201E-2</v>
      </c>
      <c r="AC185" s="36">
        <v>0.62177969864220195</v>
      </c>
      <c r="AD185" s="37">
        <v>-0.5939086166793881</v>
      </c>
      <c r="AE185" s="36">
        <v>0.76814739253966757</v>
      </c>
      <c r="AF185" s="36">
        <v>1.9551753104456824</v>
      </c>
      <c r="AG185" s="38"/>
    </row>
    <row r="186" spans="1:33" ht="13" x14ac:dyDescent="0.15">
      <c r="AD186" s="39"/>
    </row>
    <row r="187" spans="1:33" ht="13" x14ac:dyDescent="0.15">
      <c r="AD187" s="39"/>
    </row>
    <row r="188" spans="1:33" ht="13" x14ac:dyDescent="0.15">
      <c r="AD188" s="39"/>
    </row>
    <row r="189" spans="1:33" ht="13" x14ac:dyDescent="0.15">
      <c r="AD189" s="39"/>
    </row>
    <row r="190" spans="1:33" ht="13" x14ac:dyDescent="0.15">
      <c r="AD190" s="39"/>
    </row>
    <row r="191" spans="1:33" ht="13" x14ac:dyDescent="0.15">
      <c r="AD191" s="39"/>
    </row>
    <row r="192" spans="1:33" ht="13" x14ac:dyDescent="0.15">
      <c r="AD192" s="39"/>
    </row>
    <row r="193" spans="30:30" ht="13" x14ac:dyDescent="0.15">
      <c r="AD193" s="39"/>
    </row>
    <row r="194" spans="30:30" ht="13" x14ac:dyDescent="0.15">
      <c r="AD194" s="39"/>
    </row>
    <row r="195" spans="30:30" ht="13" x14ac:dyDescent="0.15">
      <c r="AD195" s="39"/>
    </row>
    <row r="196" spans="30:30" ht="13" x14ac:dyDescent="0.15">
      <c r="AD196" s="39"/>
    </row>
    <row r="197" spans="30:30" ht="13" x14ac:dyDescent="0.15">
      <c r="AD197" s="39"/>
    </row>
    <row r="198" spans="30:30" ht="13" x14ac:dyDescent="0.15">
      <c r="AD198" s="39"/>
    </row>
    <row r="199" spans="30:30" ht="13" x14ac:dyDescent="0.15">
      <c r="AD199" s="39"/>
    </row>
    <row r="200" spans="30:30" ht="13" x14ac:dyDescent="0.15">
      <c r="AD200" s="39"/>
    </row>
    <row r="201" spans="30:30" ht="13" x14ac:dyDescent="0.15">
      <c r="AD201" s="39"/>
    </row>
    <row r="202" spans="30:30" ht="13" x14ac:dyDescent="0.15">
      <c r="AD202" s="39"/>
    </row>
    <row r="203" spans="30:30" ht="13" x14ac:dyDescent="0.15">
      <c r="AD203" s="39"/>
    </row>
    <row r="204" spans="30:30" ht="13" x14ac:dyDescent="0.15">
      <c r="AD204" s="39"/>
    </row>
    <row r="205" spans="30:30" ht="13" x14ac:dyDescent="0.15">
      <c r="AD205" s="39"/>
    </row>
    <row r="206" spans="30:30" ht="13" x14ac:dyDescent="0.15">
      <c r="AD206" s="39"/>
    </row>
    <row r="207" spans="30:30" ht="13" x14ac:dyDescent="0.15">
      <c r="AD207" s="39"/>
    </row>
    <row r="208" spans="30:30" ht="13" x14ac:dyDescent="0.15">
      <c r="AD208" s="39"/>
    </row>
    <row r="209" spans="30:30" ht="13" x14ac:dyDescent="0.15">
      <c r="AD209" s="39"/>
    </row>
    <row r="210" spans="30:30" ht="13" x14ac:dyDescent="0.15">
      <c r="AD210" s="39"/>
    </row>
    <row r="211" spans="30:30" ht="13" x14ac:dyDescent="0.15">
      <c r="AD211" s="39"/>
    </row>
    <row r="212" spans="30:30" ht="13" x14ac:dyDescent="0.15">
      <c r="AD212" s="39"/>
    </row>
    <row r="213" spans="30:30" ht="13" x14ac:dyDescent="0.15">
      <c r="AD213" s="39"/>
    </row>
    <row r="214" spans="30:30" ht="13" x14ac:dyDescent="0.15">
      <c r="AD214" s="39"/>
    </row>
    <row r="215" spans="30:30" ht="13" x14ac:dyDescent="0.15">
      <c r="AD215" s="39"/>
    </row>
    <row r="216" spans="30:30" ht="13" x14ac:dyDescent="0.15">
      <c r="AD216" s="39"/>
    </row>
    <row r="217" spans="30:30" ht="13" x14ac:dyDescent="0.15">
      <c r="AD217" s="39"/>
    </row>
    <row r="218" spans="30:30" ht="13" x14ac:dyDescent="0.15">
      <c r="AD218" s="39"/>
    </row>
    <row r="219" spans="30:30" ht="13" x14ac:dyDescent="0.15">
      <c r="AD219" s="39"/>
    </row>
    <row r="220" spans="30:30" ht="13" x14ac:dyDescent="0.15">
      <c r="AD220" s="39"/>
    </row>
    <row r="221" spans="30:30" ht="13" x14ac:dyDescent="0.15">
      <c r="AD221" s="39"/>
    </row>
    <row r="222" spans="30:30" ht="13" x14ac:dyDescent="0.15">
      <c r="AD222" s="39"/>
    </row>
    <row r="223" spans="30:30" ht="13" x14ac:dyDescent="0.15">
      <c r="AD223" s="39"/>
    </row>
    <row r="224" spans="30:30" ht="13" x14ac:dyDescent="0.15">
      <c r="AD224" s="39"/>
    </row>
    <row r="225" spans="30:30" ht="13" x14ac:dyDescent="0.15">
      <c r="AD225" s="39"/>
    </row>
    <row r="226" spans="30:30" ht="13" x14ac:dyDescent="0.15">
      <c r="AD226" s="39"/>
    </row>
    <row r="227" spans="30:30" ht="13" x14ac:dyDescent="0.15">
      <c r="AD227" s="39"/>
    </row>
    <row r="228" spans="30:30" ht="13" x14ac:dyDescent="0.15">
      <c r="AD228" s="39"/>
    </row>
    <row r="229" spans="30:30" ht="13" x14ac:dyDescent="0.15">
      <c r="AD229" s="39"/>
    </row>
    <row r="230" spans="30:30" ht="13" x14ac:dyDescent="0.15">
      <c r="AD230" s="39"/>
    </row>
    <row r="231" spans="30:30" ht="13" x14ac:dyDescent="0.15">
      <c r="AD231" s="39"/>
    </row>
    <row r="232" spans="30:30" ht="13" x14ac:dyDescent="0.15">
      <c r="AD232" s="39"/>
    </row>
    <row r="233" spans="30:30" ht="13" x14ac:dyDescent="0.15">
      <c r="AD233" s="39"/>
    </row>
    <row r="234" spans="30:30" ht="13" x14ac:dyDescent="0.15">
      <c r="AD234" s="39"/>
    </row>
    <row r="235" spans="30:30" ht="13" x14ac:dyDescent="0.15">
      <c r="AD235" s="39"/>
    </row>
    <row r="236" spans="30:30" ht="13" x14ac:dyDescent="0.15">
      <c r="AD236" s="39"/>
    </row>
    <row r="237" spans="30:30" ht="13" x14ac:dyDescent="0.15">
      <c r="AD237" s="39"/>
    </row>
    <row r="238" spans="30:30" ht="13" x14ac:dyDescent="0.15">
      <c r="AD238" s="39"/>
    </row>
    <row r="239" spans="30:30" ht="13" x14ac:dyDescent="0.15">
      <c r="AD239" s="39"/>
    </row>
    <row r="240" spans="30:30" ht="13" x14ac:dyDescent="0.15">
      <c r="AD240" s="39"/>
    </row>
    <row r="241" spans="30:30" ht="13" x14ac:dyDescent="0.15">
      <c r="AD241" s="39"/>
    </row>
    <row r="242" spans="30:30" ht="13" x14ac:dyDescent="0.15">
      <c r="AD242" s="39"/>
    </row>
    <row r="243" spans="30:30" ht="13" x14ac:dyDescent="0.15">
      <c r="AD243" s="39"/>
    </row>
    <row r="244" spans="30:30" ht="13" x14ac:dyDescent="0.15">
      <c r="AD244" s="39"/>
    </row>
    <row r="245" spans="30:30" ht="13" x14ac:dyDescent="0.15">
      <c r="AD245" s="39"/>
    </row>
    <row r="246" spans="30:30" ht="13" x14ac:dyDescent="0.15">
      <c r="AD246" s="39"/>
    </row>
    <row r="247" spans="30:30" ht="13" x14ac:dyDescent="0.15">
      <c r="AD247" s="39"/>
    </row>
    <row r="248" spans="30:30" ht="13" x14ac:dyDescent="0.15">
      <c r="AD248" s="39"/>
    </row>
    <row r="249" spans="30:30" ht="13" x14ac:dyDescent="0.15">
      <c r="AD249" s="39"/>
    </row>
    <row r="250" spans="30:30" ht="13" x14ac:dyDescent="0.15">
      <c r="AD250" s="39"/>
    </row>
    <row r="251" spans="30:30" ht="13" x14ac:dyDescent="0.15">
      <c r="AD251" s="39"/>
    </row>
    <row r="252" spans="30:30" ht="13" x14ac:dyDescent="0.15">
      <c r="AD252" s="39"/>
    </row>
    <row r="253" spans="30:30" ht="13" x14ac:dyDescent="0.15">
      <c r="AD253" s="39"/>
    </row>
    <row r="254" spans="30:30" ht="13" x14ac:dyDescent="0.15">
      <c r="AD254" s="39"/>
    </row>
    <row r="255" spans="30:30" ht="13" x14ac:dyDescent="0.15">
      <c r="AD255" s="39"/>
    </row>
    <row r="256" spans="30:30" ht="13" x14ac:dyDescent="0.15">
      <c r="AD256" s="39"/>
    </row>
    <row r="257" spans="30:30" ht="13" x14ac:dyDescent="0.15">
      <c r="AD257" s="39"/>
    </row>
    <row r="258" spans="30:30" ht="13" x14ac:dyDescent="0.15">
      <c r="AD258" s="39"/>
    </row>
    <row r="259" spans="30:30" ht="13" x14ac:dyDescent="0.15">
      <c r="AD259" s="39"/>
    </row>
    <row r="260" spans="30:30" ht="13" x14ac:dyDescent="0.15">
      <c r="AD260" s="39"/>
    </row>
    <row r="261" spans="30:30" ht="13" x14ac:dyDescent="0.15">
      <c r="AD261" s="39"/>
    </row>
    <row r="262" spans="30:30" ht="13" x14ac:dyDescent="0.15">
      <c r="AD262" s="39"/>
    </row>
    <row r="263" spans="30:30" ht="13" x14ac:dyDescent="0.15">
      <c r="AD263" s="39"/>
    </row>
    <row r="264" spans="30:30" ht="13" x14ac:dyDescent="0.15">
      <c r="AD264" s="39"/>
    </row>
    <row r="265" spans="30:30" ht="13" x14ac:dyDescent="0.15">
      <c r="AD265" s="39"/>
    </row>
    <row r="266" spans="30:30" ht="13" x14ac:dyDescent="0.15">
      <c r="AD266" s="39"/>
    </row>
    <row r="267" spans="30:30" ht="13" x14ac:dyDescent="0.15">
      <c r="AD267" s="39"/>
    </row>
    <row r="268" spans="30:30" ht="13" x14ac:dyDescent="0.15">
      <c r="AD268" s="39"/>
    </row>
    <row r="269" spans="30:30" ht="13" x14ac:dyDescent="0.15">
      <c r="AD269" s="39"/>
    </row>
    <row r="270" spans="30:30" ht="13" x14ac:dyDescent="0.15">
      <c r="AD270" s="39"/>
    </row>
    <row r="271" spans="30:30" ht="13" x14ac:dyDescent="0.15">
      <c r="AD271" s="39"/>
    </row>
    <row r="272" spans="30:30" ht="13" x14ac:dyDescent="0.15">
      <c r="AD272" s="39"/>
    </row>
    <row r="273" spans="30:30" ht="13" x14ac:dyDescent="0.15">
      <c r="AD273" s="39"/>
    </row>
    <row r="274" spans="30:30" ht="13" x14ac:dyDescent="0.15">
      <c r="AD274" s="39"/>
    </row>
    <row r="275" spans="30:30" ht="13" x14ac:dyDescent="0.15">
      <c r="AD275" s="39"/>
    </row>
    <row r="276" spans="30:30" ht="13" x14ac:dyDescent="0.15">
      <c r="AD276" s="39"/>
    </row>
    <row r="277" spans="30:30" ht="13" x14ac:dyDescent="0.15">
      <c r="AD277" s="39"/>
    </row>
    <row r="278" spans="30:30" ht="13" x14ac:dyDescent="0.15">
      <c r="AD278" s="39"/>
    </row>
    <row r="279" spans="30:30" ht="13" x14ac:dyDescent="0.15">
      <c r="AD279" s="39"/>
    </row>
    <row r="280" spans="30:30" ht="13" x14ac:dyDescent="0.15">
      <c r="AD280" s="39"/>
    </row>
    <row r="281" spans="30:30" ht="13" x14ac:dyDescent="0.15">
      <c r="AD281" s="39"/>
    </row>
    <row r="282" spans="30:30" ht="13" x14ac:dyDescent="0.15">
      <c r="AD282" s="39"/>
    </row>
    <row r="283" spans="30:30" ht="13" x14ac:dyDescent="0.15">
      <c r="AD283" s="39"/>
    </row>
    <row r="284" spans="30:30" ht="13" x14ac:dyDescent="0.15">
      <c r="AD284" s="39"/>
    </row>
    <row r="285" spans="30:30" ht="13" x14ac:dyDescent="0.15">
      <c r="AD285" s="39"/>
    </row>
    <row r="286" spans="30:30" ht="13" x14ac:dyDescent="0.15">
      <c r="AD286" s="39"/>
    </row>
    <row r="287" spans="30:30" ht="13" x14ac:dyDescent="0.15">
      <c r="AD287" s="39"/>
    </row>
    <row r="288" spans="30:30" ht="13" x14ac:dyDescent="0.15">
      <c r="AD288" s="39"/>
    </row>
    <row r="289" spans="30:30" ht="13" x14ac:dyDescent="0.15">
      <c r="AD289" s="39"/>
    </row>
    <row r="290" spans="30:30" ht="13" x14ac:dyDescent="0.15">
      <c r="AD290" s="39"/>
    </row>
    <row r="291" spans="30:30" ht="13" x14ac:dyDescent="0.15">
      <c r="AD291" s="39"/>
    </row>
    <row r="292" spans="30:30" ht="13" x14ac:dyDescent="0.15">
      <c r="AD292" s="39"/>
    </row>
    <row r="293" spans="30:30" ht="13" x14ac:dyDescent="0.15">
      <c r="AD293" s="39"/>
    </row>
    <row r="294" spans="30:30" ht="13" x14ac:dyDescent="0.15">
      <c r="AD294" s="39"/>
    </row>
    <row r="295" spans="30:30" ht="13" x14ac:dyDescent="0.15">
      <c r="AD295" s="39"/>
    </row>
    <row r="296" spans="30:30" ht="13" x14ac:dyDescent="0.15">
      <c r="AD296" s="39"/>
    </row>
    <row r="297" spans="30:30" ht="13" x14ac:dyDescent="0.15">
      <c r="AD297" s="39"/>
    </row>
    <row r="298" spans="30:30" ht="13" x14ac:dyDescent="0.15">
      <c r="AD298" s="39"/>
    </row>
    <row r="299" spans="30:30" ht="13" x14ac:dyDescent="0.15">
      <c r="AD299" s="39"/>
    </row>
    <row r="300" spans="30:30" ht="13" x14ac:dyDescent="0.15">
      <c r="AD300" s="39"/>
    </row>
    <row r="301" spans="30:30" ht="13" x14ac:dyDescent="0.15">
      <c r="AD301" s="39"/>
    </row>
    <row r="302" spans="30:30" ht="13" x14ac:dyDescent="0.15">
      <c r="AD302" s="39"/>
    </row>
    <row r="303" spans="30:30" ht="13" x14ac:dyDescent="0.15">
      <c r="AD303" s="39"/>
    </row>
    <row r="304" spans="30:30" ht="13" x14ac:dyDescent="0.15">
      <c r="AD304" s="39"/>
    </row>
    <row r="305" spans="30:30" ht="13" x14ac:dyDescent="0.15">
      <c r="AD305" s="39"/>
    </row>
    <row r="306" spans="30:30" ht="13" x14ac:dyDescent="0.15">
      <c r="AD306" s="39"/>
    </row>
    <row r="307" spans="30:30" ht="13" x14ac:dyDescent="0.15">
      <c r="AD307" s="39"/>
    </row>
    <row r="308" spans="30:30" ht="13" x14ac:dyDescent="0.15">
      <c r="AD308" s="39"/>
    </row>
    <row r="309" spans="30:30" ht="13" x14ac:dyDescent="0.15">
      <c r="AD309" s="39"/>
    </row>
    <row r="310" spans="30:30" ht="13" x14ac:dyDescent="0.15">
      <c r="AD310" s="39"/>
    </row>
    <row r="311" spans="30:30" ht="13" x14ac:dyDescent="0.15">
      <c r="AD311" s="39"/>
    </row>
    <row r="312" spans="30:30" ht="13" x14ac:dyDescent="0.15">
      <c r="AD312" s="39"/>
    </row>
    <row r="313" spans="30:30" ht="13" x14ac:dyDescent="0.15">
      <c r="AD313" s="39"/>
    </row>
    <row r="314" spans="30:30" ht="13" x14ac:dyDescent="0.15">
      <c r="AD314" s="39"/>
    </row>
    <row r="315" spans="30:30" ht="13" x14ac:dyDescent="0.15">
      <c r="AD315" s="39"/>
    </row>
    <row r="316" spans="30:30" ht="13" x14ac:dyDescent="0.15">
      <c r="AD316" s="39"/>
    </row>
    <row r="317" spans="30:30" ht="13" x14ac:dyDescent="0.15">
      <c r="AD317" s="39"/>
    </row>
    <row r="318" spans="30:30" ht="13" x14ac:dyDescent="0.15">
      <c r="AD318" s="39"/>
    </row>
    <row r="319" spans="30:30" ht="13" x14ac:dyDescent="0.15">
      <c r="AD319" s="39"/>
    </row>
    <row r="320" spans="30:30" ht="13" x14ac:dyDescent="0.15">
      <c r="AD320" s="39"/>
    </row>
    <row r="321" spans="30:30" ht="13" x14ac:dyDescent="0.15">
      <c r="AD321" s="39"/>
    </row>
    <row r="322" spans="30:30" ht="13" x14ac:dyDescent="0.15">
      <c r="AD322" s="39"/>
    </row>
    <row r="323" spans="30:30" ht="13" x14ac:dyDescent="0.15">
      <c r="AD323" s="39"/>
    </row>
    <row r="324" spans="30:30" ht="13" x14ac:dyDescent="0.15">
      <c r="AD324" s="39"/>
    </row>
    <row r="325" spans="30:30" ht="13" x14ac:dyDescent="0.15">
      <c r="AD325" s="39"/>
    </row>
    <row r="326" spans="30:30" ht="13" x14ac:dyDescent="0.15">
      <c r="AD326" s="39"/>
    </row>
    <row r="327" spans="30:30" ht="13" x14ac:dyDescent="0.15">
      <c r="AD327" s="39"/>
    </row>
    <row r="328" spans="30:30" ht="13" x14ac:dyDescent="0.15">
      <c r="AD328" s="39"/>
    </row>
    <row r="329" spans="30:30" ht="13" x14ac:dyDescent="0.15">
      <c r="AD329" s="39"/>
    </row>
    <row r="330" spans="30:30" ht="13" x14ac:dyDescent="0.15">
      <c r="AD330" s="39"/>
    </row>
    <row r="331" spans="30:30" ht="13" x14ac:dyDescent="0.15">
      <c r="AD331" s="39"/>
    </row>
    <row r="332" spans="30:30" ht="13" x14ac:dyDescent="0.15">
      <c r="AD332" s="39"/>
    </row>
    <row r="333" spans="30:30" ht="13" x14ac:dyDescent="0.15">
      <c r="AD333" s="39"/>
    </row>
    <row r="334" spans="30:30" ht="13" x14ac:dyDescent="0.15">
      <c r="AD334" s="39"/>
    </row>
    <row r="335" spans="30:30" ht="13" x14ac:dyDescent="0.15">
      <c r="AD335" s="39"/>
    </row>
    <row r="336" spans="30:30" ht="13" x14ac:dyDescent="0.15">
      <c r="AD336" s="39"/>
    </row>
    <row r="337" spans="30:30" ht="13" x14ac:dyDescent="0.15">
      <c r="AD337" s="39"/>
    </row>
    <row r="338" spans="30:30" ht="13" x14ac:dyDescent="0.15">
      <c r="AD338" s="39"/>
    </row>
    <row r="339" spans="30:30" ht="13" x14ac:dyDescent="0.15">
      <c r="AD339" s="39"/>
    </row>
    <row r="340" spans="30:30" ht="13" x14ac:dyDescent="0.15">
      <c r="AD340" s="39"/>
    </row>
    <row r="341" spans="30:30" ht="13" x14ac:dyDescent="0.15">
      <c r="AD341" s="39"/>
    </row>
    <row r="342" spans="30:30" ht="13" x14ac:dyDescent="0.15">
      <c r="AD342" s="39"/>
    </row>
    <row r="343" spans="30:30" ht="13" x14ac:dyDescent="0.15">
      <c r="AD343" s="39"/>
    </row>
    <row r="344" spans="30:30" ht="13" x14ac:dyDescent="0.15">
      <c r="AD344" s="39"/>
    </row>
    <row r="345" spans="30:30" ht="13" x14ac:dyDescent="0.15">
      <c r="AD345" s="39"/>
    </row>
    <row r="346" spans="30:30" ht="13" x14ac:dyDescent="0.15">
      <c r="AD346" s="39"/>
    </row>
    <row r="347" spans="30:30" ht="13" x14ac:dyDescent="0.15">
      <c r="AD347" s="39"/>
    </row>
    <row r="348" spans="30:30" ht="13" x14ac:dyDescent="0.15">
      <c r="AD348" s="39"/>
    </row>
    <row r="349" spans="30:30" ht="13" x14ac:dyDescent="0.15">
      <c r="AD349" s="39"/>
    </row>
    <row r="350" spans="30:30" ht="13" x14ac:dyDescent="0.15">
      <c r="AD350" s="39"/>
    </row>
    <row r="351" spans="30:30" ht="13" x14ac:dyDescent="0.15">
      <c r="AD351" s="39"/>
    </row>
    <row r="352" spans="30:30" ht="13" x14ac:dyDescent="0.15">
      <c r="AD352" s="39"/>
    </row>
    <row r="353" spans="30:30" ht="13" x14ac:dyDescent="0.15">
      <c r="AD353" s="39"/>
    </row>
    <row r="354" spans="30:30" ht="13" x14ac:dyDescent="0.15">
      <c r="AD354" s="39"/>
    </row>
    <row r="355" spans="30:30" ht="13" x14ac:dyDescent="0.15">
      <c r="AD355" s="39"/>
    </row>
    <row r="356" spans="30:30" ht="13" x14ac:dyDescent="0.15">
      <c r="AD356" s="39"/>
    </row>
    <row r="357" spans="30:30" ht="13" x14ac:dyDescent="0.15">
      <c r="AD357" s="39"/>
    </row>
    <row r="358" spans="30:30" ht="13" x14ac:dyDescent="0.15">
      <c r="AD358" s="39"/>
    </row>
    <row r="359" spans="30:30" ht="13" x14ac:dyDescent="0.15">
      <c r="AD359" s="39"/>
    </row>
    <row r="360" spans="30:30" ht="13" x14ac:dyDescent="0.15">
      <c r="AD360" s="39"/>
    </row>
    <row r="361" spans="30:30" ht="13" x14ac:dyDescent="0.15">
      <c r="AD361" s="39"/>
    </row>
    <row r="362" spans="30:30" ht="13" x14ac:dyDescent="0.15">
      <c r="AD362" s="39"/>
    </row>
    <row r="363" spans="30:30" ht="13" x14ac:dyDescent="0.15">
      <c r="AD363" s="39"/>
    </row>
    <row r="364" spans="30:30" ht="13" x14ac:dyDescent="0.15">
      <c r="AD364" s="39"/>
    </row>
    <row r="365" spans="30:30" ht="13" x14ac:dyDescent="0.15">
      <c r="AD365" s="39"/>
    </row>
    <row r="366" spans="30:30" ht="13" x14ac:dyDescent="0.15">
      <c r="AD366" s="39"/>
    </row>
    <row r="367" spans="30:30" ht="13" x14ac:dyDescent="0.15">
      <c r="AD367" s="39"/>
    </row>
    <row r="368" spans="30:30" ht="13" x14ac:dyDescent="0.15">
      <c r="AD368" s="39"/>
    </row>
    <row r="369" spans="30:30" ht="13" x14ac:dyDescent="0.15">
      <c r="AD369" s="39"/>
    </row>
    <row r="370" spans="30:30" ht="13" x14ac:dyDescent="0.15">
      <c r="AD370" s="39"/>
    </row>
    <row r="371" spans="30:30" ht="13" x14ac:dyDescent="0.15">
      <c r="AD371" s="39"/>
    </row>
    <row r="372" spans="30:30" ht="13" x14ac:dyDescent="0.15">
      <c r="AD372" s="39"/>
    </row>
    <row r="373" spans="30:30" ht="13" x14ac:dyDescent="0.15">
      <c r="AD373" s="39"/>
    </row>
    <row r="374" spans="30:30" ht="13" x14ac:dyDescent="0.15">
      <c r="AD374" s="39"/>
    </row>
    <row r="375" spans="30:30" ht="13" x14ac:dyDescent="0.15">
      <c r="AD375" s="39"/>
    </row>
    <row r="376" spans="30:30" ht="13" x14ac:dyDescent="0.15">
      <c r="AD376" s="39"/>
    </row>
    <row r="377" spans="30:30" ht="13" x14ac:dyDescent="0.15">
      <c r="AD377" s="39"/>
    </row>
    <row r="378" spans="30:30" ht="13" x14ac:dyDescent="0.15">
      <c r="AD378" s="39"/>
    </row>
    <row r="379" spans="30:30" ht="13" x14ac:dyDescent="0.15">
      <c r="AD379" s="39"/>
    </row>
    <row r="380" spans="30:30" ht="13" x14ac:dyDescent="0.15">
      <c r="AD380" s="39"/>
    </row>
    <row r="381" spans="30:30" ht="13" x14ac:dyDescent="0.15">
      <c r="AD381" s="39"/>
    </row>
    <row r="382" spans="30:30" ht="13" x14ac:dyDescent="0.15">
      <c r="AD382" s="39"/>
    </row>
    <row r="383" spans="30:30" ht="13" x14ac:dyDescent="0.15">
      <c r="AD383" s="39"/>
    </row>
    <row r="384" spans="30:30" ht="13" x14ac:dyDescent="0.15">
      <c r="AD384" s="39"/>
    </row>
    <row r="385" spans="30:30" ht="13" x14ac:dyDescent="0.15">
      <c r="AD385" s="39"/>
    </row>
    <row r="386" spans="30:30" ht="13" x14ac:dyDescent="0.15">
      <c r="AD386" s="39"/>
    </row>
    <row r="387" spans="30:30" ht="13" x14ac:dyDescent="0.15">
      <c r="AD387" s="39"/>
    </row>
    <row r="388" spans="30:30" ht="13" x14ac:dyDescent="0.15">
      <c r="AD388" s="39"/>
    </row>
    <row r="389" spans="30:30" ht="13" x14ac:dyDescent="0.15">
      <c r="AD389" s="39"/>
    </row>
    <row r="390" spans="30:30" ht="13" x14ac:dyDescent="0.15">
      <c r="AD390" s="39"/>
    </row>
    <row r="391" spans="30:30" ht="13" x14ac:dyDescent="0.15">
      <c r="AD391" s="39"/>
    </row>
    <row r="392" spans="30:30" ht="13" x14ac:dyDescent="0.15">
      <c r="AD392" s="39"/>
    </row>
    <row r="393" spans="30:30" ht="13" x14ac:dyDescent="0.15">
      <c r="AD393" s="39"/>
    </row>
    <row r="394" spans="30:30" ht="13" x14ac:dyDescent="0.15">
      <c r="AD394" s="39"/>
    </row>
    <row r="395" spans="30:30" ht="13" x14ac:dyDescent="0.15">
      <c r="AD395" s="39"/>
    </row>
    <row r="396" spans="30:30" ht="13" x14ac:dyDescent="0.15">
      <c r="AD396" s="39"/>
    </row>
    <row r="397" spans="30:30" ht="13" x14ac:dyDescent="0.15">
      <c r="AD397" s="39"/>
    </row>
    <row r="398" spans="30:30" ht="13" x14ac:dyDescent="0.15">
      <c r="AD398" s="39"/>
    </row>
    <row r="399" spans="30:30" ht="13" x14ac:dyDescent="0.15">
      <c r="AD399" s="39"/>
    </row>
    <row r="400" spans="30:30" ht="13" x14ac:dyDescent="0.15">
      <c r="AD400" s="39"/>
    </row>
    <row r="401" spans="30:30" ht="13" x14ac:dyDescent="0.15">
      <c r="AD401" s="39"/>
    </row>
    <row r="402" spans="30:30" ht="13" x14ac:dyDescent="0.15">
      <c r="AD402" s="39"/>
    </row>
    <row r="403" spans="30:30" ht="13" x14ac:dyDescent="0.15">
      <c r="AD403" s="39"/>
    </row>
    <row r="404" spans="30:30" ht="13" x14ac:dyDescent="0.15">
      <c r="AD404" s="39"/>
    </row>
    <row r="405" spans="30:30" ht="13" x14ac:dyDescent="0.15">
      <c r="AD405" s="39"/>
    </row>
    <row r="406" spans="30:30" ht="13" x14ac:dyDescent="0.15">
      <c r="AD406" s="39"/>
    </row>
    <row r="407" spans="30:30" ht="13" x14ac:dyDescent="0.15">
      <c r="AD407" s="39"/>
    </row>
    <row r="408" spans="30:30" ht="13" x14ac:dyDescent="0.15">
      <c r="AD408" s="39"/>
    </row>
    <row r="409" spans="30:30" ht="13" x14ac:dyDescent="0.15">
      <c r="AD409" s="39"/>
    </row>
    <row r="410" spans="30:30" ht="13" x14ac:dyDescent="0.15">
      <c r="AD410" s="39"/>
    </row>
    <row r="411" spans="30:30" ht="13" x14ac:dyDescent="0.15">
      <c r="AD411" s="39"/>
    </row>
    <row r="412" spans="30:30" ht="13" x14ac:dyDescent="0.15">
      <c r="AD412" s="39"/>
    </row>
    <row r="413" spans="30:30" ht="13" x14ac:dyDescent="0.15">
      <c r="AD413" s="39"/>
    </row>
    <row r="414" spans="30:30" ht="13" x14ac:dyDescent="0.15">
      <c r="AD414" s="39"/>
    </row>
    <row r="415" spans="30:30" ht="13" x14ac:dyDescent="0.15">
      <c r="AD415" s="39"/>
    </row>
    <row r="416" spans="30:30" ht="13" x14ac:dyDescent="0.15">
      <c r="AD416" s="39"/>
    </row>
    <row r="417" spans="30:30" ht="13" x14ac:dyDescent="0.15">
      <c r="AD417" s="39"/>
    </row>
    <row r="418" spans="30:30" ht="13" x14ac:dyDescent="0.15">
      <c r="AD418" s="39"/>
    </row>
    <row r="419" spans="30:30" ht="13" x14ac:dyDescent="0.15">
      <c r="AD419" s="39"/>
    </row>
    <row r="420" spans="30:30" ht="13" x14ac:dyDescent="0.15">
      <c r="AD420" s="39"/>
    </row>
    <row r="421" spans="30:30" ht="13" x14ac:dyDescent="0.15">
      <c r="AD421" s="39"/>
    </row>
    <row r="422" spans="30:30" ht="13" x14ac:dyDescent="0.15">
      <c r="AD422" s="39"/>
    </row>
    <row r="423" spans="30:30" ht="13" x14ac:dyDescent="0.15">
      <c r="AD423" s="39"/>
    </row>
    <row r="424" spans="30:30" ht="13" x14ac:dyDescent="0.15">
      <c r="AD424" s="39"/>
    </row>
    <row r="425" spans="30:30" ht="13" x14ac:dyDescent="0.15">
      <c r="AD425" s="39"/>
    </row>
    <row r="426" spans="30:30" ht="13" x14ac:dyDescent="0.15">
      <c r="AD426" s="39"/>
    </row>
    <row r="427" spans="30:30" ht="13" x14ac:dyDescent="0.15">
      <c r="AD427" s="39"/>
    </row>
    <row r="428" spans="30:30" ht="13" x14ac:dyDescent="0.15">
      <c r="AD428" s="39"/>
    </row>
    <row r="429" spans="30:30" ht="13" x14ac:dyDescent="0.15">
      <c r="AD429" s="39"/>
    </row>
    <row r="430" spans="30:30" ht="13" x14ac:dyDescent="0.15">
      <c r="AD430" s="39"/>
    </row>
    <row r="431" spans="30:30" ht="13" x14ac:dyDescent="0.15">
      <c r="AD431" s="39"/>
    </row>
    <row r="432" spans="30:30" ht="13" x14ac:dyDescent="0.15">
      <c r="AD432" s="39"/>
    </row>
    <row r="433" spans="30:30" ht="13" x14ac:dyDescent="0.15">
      <c r="AD433" s="39"/>
    </row>
    <row r="434" spans="30:30" ht="13" x14ac:dyDescent="0.15">
      <c r="AD434" s="39"/>
    </row>
    <row r="435" spans="30:30" ht="13" x14ac:dyDescent="0.15">
      <c r="AD435" s="39"/>
    </row>
    <row r="436" spans="30:30" ht="13" x14ac:dyDescent="0.15">
      <c r="AD436" s="39"/>
    </row>
    <row r="437" spans="30:30" ht="13" x14ac:dyDescent="0.15">
      <c r="AD437" s="39"/>
    </row>
    <row r="438" spans="30:30" ht="13" x14ac:dyDescent="0.15">
      <c r="AD438" s="39"/>
    </row>
    <row r="439" spans="30:30" ht="13" x14ac:dyDescent="0.15">
      <c r="AD439" s="39"/>
    </row>
    <row r="440" spans="30:30" ht="13" x14ac:dyDescent="0.15">
      <c r="AD440" s="39"/>
    </row>
    <row r="441" spans="30:30" ht="13" x14ac:dyDescent="0.15">
      <c r="AD441" s="39"/>
    </row>
    <row r="442" spans="30:30" ht="13" x14ac:dyDescent="0.15">
      <c r="AD442" s="39"/>
    </row>
    <row r="443" spans="30:30" ht="13" x14ac:dyDescent="0.15">
      <c r="AD443" s="39"/>
    </row>
    <row r="444" spans="30:30" ht="13" x14ac:dyDescent="0.15">
      <c r="AD444" s="39"/>
    </row>
    <row r="445" spans="30:30" ht="13" x14ac:dyDescent="0.15">
      <c r="AD445" s="39"/>
    </row>
    <row r="446" spans="30:30" ht="13" x14ac:dyDescent="0.15">
      <c r="AD446" s="39"/>
    </row>
    <row r="447" spans="30:30" ht="13" x14ac:dyDescent="0.15">
      <c r="AD447" s="39"/>
    </row>
    <row r="448" spans="30:30" ht="13" x14ac:dyDescent="0.15">
      <c r="AD448" s="39"/>
    </row>
    <row r="449" spans="30:30" ht="13" x14ac:dyDescent="0.15">
      <c r="AD449" s="39"/>
    </row>
    <row r="450" spans="30:30" ht="13" x14ac:dyDescent="0.15">
      <c r="AD450" s="39"/>
    </row>
    <row r="451" spans="30:30" ht="13" x14ac:dyDescent="0.15">
      <c r="AD451" s="39"/>
    </row>
    <row r="452" spans="30:30" ht="13" x14ac:dyDescent="0.15">
      <c r="AD452" s="39"/>
    </row>
    <row r="453" spans="30:30" ht="13" x14ac:dyDescent="0.15">
      <c r="AD453" s="39"/>
    </row>
    <row r="454" spans="30:30" ht="13" x14ac:dyDescent="0.15">
      <c r="AD454" s="39"/>
    </row>
    <row r="455" spans="30:30" ht="13" x14ac:dyDescent="0.15">
      <c r="AD455" s="39"/>
    </row>
    <row r="456" spans="30:30" ht="13" x14ac:dyDescent="0.15">
      <c r="AD456" s="39"/>
    </row>
    <row r="457" spans="30:30" ht="13" x14ac:dyDescent="0.15">
      <c r="AD457" s="39"/>
    </row>
    <row r="458" spans="30:30" ht="13" x14ac:dyDescent="0.15">
      <c r="AD458" s="39"/>
    </row>
    <row r="459" spans="30:30" ht="13" x14ac:dyDescent="0.15">
      <c r="AD459" s="39"/>
    </row>
    <row r="460" spans="30:30" ht="13" x14ac:dyDescent="0.15">
      <c r="AD460" s="39"/>
    </row>
    <row r="461" spans="30:30" ht="13" x14ac:dyDescent="0.15">
      <c r="AD461" s="39"/>
    </row>
    <row r="462" spans="30:30" ht="13" x14ac:dyDescent="0.15">
      <c r="AD462" s="39"/>
    </row>
    <row r="463" spans="30:30" ht="13" x14ac:dyDescent="0.15">
      <c r="AD463" s="39"/>
    </row>
    <row r="464" spans="30:30" ht="13" x14ac:dyDescent="0.15">
      <c r="AD464" s="39"/>
    </row>
    <row r="465" spans="30:30" ht="13" x14ac:dyDescent="0.15">
      <c r="AD465" s="39"/>
    </row>
    <row r="466" spans="30:30" ht="13" x14ac:dyDescent="0.15">
      <c r="AD466" s="39"/>
    </row>
    <row r="467" spans="30:30" ht="13" x14ac:dyDescent="0.15">
      <c r="AD467" s="39"/>
    </row>
    <row r="468" spans="30:30" ht="13" x14ac:dyDescent="0.15">
      <c r="AD468" s="39"/>
    </row>
    <row r="469" spans="30:30" ht="13" x14ac:dyDescent="0.15">
      <c r="AD469" s="39"/>
    </row>
    <row r="470" spans="30:30" ht="13" x14ac:dyDescent="0.15">
      <c r="AD470" s="39"/>
    </row>
    <row r="471" spans="30:30" ht="13" x14ac:dyDescent="0.15">
      <c r="AD471" s="39"/>
    </row>
    <row r="472" spans="30:30" ht="13" x14ac:dyDescent="0.15">
      <c r="AD472" s="39"/>
    </row>
    <row r="473" spans="30:30" ht="13" x14ac:dyDescent="0.15">
      <c r="AD473" s="39"/>
    </row>
    <row r="474" spans="30:30" ht="13" x14ac:dyDescent="0.15">
      <c r="AD474" s="39"/>
    </row>
    <row r="475" spans="30:30" ht="13" x14ac:dyDescent="0.15">
      <c r="AD475" s="39"/>
    </row>
    <row r="476" spans="30:30" ht="13" x14ac:dyDescent="0.15">
      <c r="AD476" s="39"/>
    </row>
    <row r="477" spans="30:30" ht="13" x14ac:dyDescent="0.15">
      <c r="AD477" s="39"/>
    </row>
    <row r="478" spans="30:30" ht="13" x14ac:dyDescent="0.15">
      <c r="AD478" s="39"/>
    </row>
    <row r="479" spans="30:30" ht="13" x14ac:dyDescent="0.15">
      <c r="AD479" s="39"/>
    </row>
    <row r="480" spans="30:30" ht="13" x14ac:dyDescent="0.15">
      <c r="AD480" s="39"/>
    </row>
    <row r="481" spans="30:30" ht="13" x14ac:dyDescent="0.15">
      <c r="AD481" s="39"/>
    </row>
    <row r="482" spans="30:30" ht="13" x14ac:dyDescent="0.15">
      <c r="AD482" s="39"/>
    </row>
    <row r="483" spans="30:30" ht="13" x14ac:dyDescent="0.15">
      <c r="AD483" s="39"/>
    </row>
    <row r="484" spans="30:30" ht="13" x14ac:dyDescent="0.15">
      <c r="AD484" s="39"/>
    </row>
    <row r="485" spans="30:30" ht="13" x14ac:dyDescent="0.15">
      <c r="AD485" s="39"/>
    </row>
    <row r="486" spans="30:30" ht="13" x14ac:dyDescent="0.15">
      <c r="AD486" s="39"/>
    </row>
    <row r="487" spans="30:30" ht="13" x14ac:dyDescent="0.15">
      <c r="AD487" s="39"/>
    </row>
    <row r="488" spans="30:30" ht="13" x14ac:dyDescent="0.15">
      <c r="AD488" s="39"/>
    </row>
    <row r="489" spans="30:30" ht="13" x14ac:dyDescent="0.15">
      <c r="AD489" s="39"/>
    </row>
    <row r="490" spans="30:30" ht="13" x14ac:dyDescent="0.15">
      <c r="AD490" s="39"/>
    </row>
    <row r="491" spans="30:30" ht="13" x14ac:dyDescent="0.15">
      <c r="AD491" s="39"/>
    </row>
    <row r="492" spans="30:30" ht="13" x14ac:dyDescent="0.15">
      <c r="AD492" s="39"/>
    </row>
    <row r="493" spans="30:30" ht="13" x14ac:dyDescent="0.15">
      <c r="AD493" s="39"/>
    </row>
    <row r="494" spans="30:30" ht="13" x14ac:dyDescent="0.15">
      <c r="AD494" s="39"/>
    </row>
    <row r="495" spans="30:30" ht="13" x14ac:dyDescent="0.15">
      <c r="AD495" s="39"/>
    </row>
    <row r="496" spans="30:30" ht="13" x14ac:dyDescent="0.15">
      <c r="AD496" s="39"/>
    </row>
    <row r="497" spans="30:30" ht="13" x14ac:dyDescent="0.15">
      <c r="AD497" s="39"/>
    </row>
    <row r="498" spans="30:30" ht="13" x14ac:dyDescent="0.15">
      <c r="AD498" s="39"/>
    </row>
    <row r="499" spans="30:30" ht="13" x14ac:dyDescent="0.15">
      <c r="AD499" s="39"/>
    </row>
    <row r="500" spans="30:30" ht="13" x14ac:dyDescent="0.15">
      <c r="AD500" s="39"/>
    </row>
    <row r="501" spans="30:30" ht="13" x14ac:dyDescent="0.15">
      <c r="AD501" s="39"/>
    </row>
    <row r="502" spans="30:30" ht="13" x14ac:dyDescent="0.15">
      <c r="AD502" s="39"/>
    </row>
    <row r="503" spans="30:30" ht="13" x14ac:dyDescent="0.15">
      <c r="AD503" s="39"/>
    </row>
    <row r="504" spans="30:30" ht="13" x14ac:dyDescent="0.15">
      <c r="AD504" s="39"/>
    </row>
    <row r="505" spans="30:30" ht="13" x14ac:dyDescent="0.15">
      <c r="AD505" s="39"/>
    </row>
    <row r="506" spans="30:30" ht="13" x14ac:dyDescent="0.15">
      <c r="AD506" s="39"/>
    </row>
    <row r="507" spans="30:30" ht="13" x14ac:dyDescent="0.15">
      <c r="AD507" s="39"/>
    </row>
    <row r="508" spans="30:30" ht="13" x14ac:dyDescent="0.15">
      <c r="AD508" s="39"/>
    </row>
    <row r="509" spans="30:30" ht="13" x14ac:dyDescent="0.15">
      <c r="AD509" s="39"/>
    </row>
    <row r="510" spans="30:30" ht="13" x14ac:dyDescent="0.15">
      <c r="AD510" s="39"/>
    </row>
    <row r="511" spans="30:30" ht="13" x14ac:dyDescent="0.15">
      <c r="AD511" s="39"/>
    </row>
    <row r="512" spans="30:30" ht="13" x14ac:dyDescent="0.15">
      <c r="AD512" s="39"/>
    </row>
    <row r="513" spans="30:30" ht="13" x14ac:dyDescent="0.15">
      <c r="AD513" s="39"/>
    </row>
    <row r="514" spans="30:30" ht="13" x14ac:dyDescent="0.15">
      <c r="AD514" s="39"/>
    </row>
    <row r="515" spans="30:30" ht="13" x14ac:dyDescent="0.15">
      <c r="AD515" s="39"/>
    </row>
    <row r="516" spans="30:30" ht="13" x14ac:dyDescent="0.15">
      <c r="AD516" s="39"/>
    </row>
    <row r="517" spans="30:30" ht="13" x14ac:dyDescent="0.15">
      <c r="AD517" s="39"/>
    </row>
    <row r="518" spans="30:30" ht="13" x14ac:dyDescent="0.15">
      <c r="AD518" s="39"/>
    </row>
    <row r="519" spans="30:30" ht="13" x14ac:dyDescent="0.15">
      <c r="AD519" s="39"/>
    </row>
    <row r="520" spans="30:30" ht="13" x14ac:dyDescent="0.15">
      <c r="AD520" s="39"/>
    </row>
    <row r="521" spans="30:30" ht="13" x14ac:dyDescent="0.15">
      <c r="AD521" s="39"/>
    </row>
    <row r="522" spans="30:30" ht="13" x14ac:dyDescent="0.15">
      <c r="AD522" s="39"/>
    </row>
    <row r="523" spans="30:30" ht="13" x14ac:dyDescent="0.15">
      <c r="AD523" s="39"/>
    </row>
    <row r="524" spans="30:30" ht="13" x14ac:dyDescent="0.15">
      <c r="AD524" s="39"/>
    </row>
    <row r="525" spans="30:30" ht="13" x14ac:dyDescent="0.15">
      <c r="AD525" s="39"/>
    </row>
    <row r="526" spans="30:30" ht="13" x14ac:dyDescent="0.15">
      <c r="AD526" s="39"/>
    </row>
    <row r="527" spans="30:30" ht="13" x14ac:dyDescent="0.15">
      <c r="AD527" s="39"/>
    </row>
    <row r="528" spans="30:30" ht="13" x14ac:dyDescent="0.15">
      <c r="AD528" s="39"/>
    </row>
    <row r="529" spans="30:30" ht="13" x14ac:dyDescent="0.15">
      <c r="AD529" s="39"/>
    </row>
    <row r="530" spans="30:30" ht="13" x14ac:dyDescent="0.15">
      <c r="AD530" s="39"/>
    </row>
    <row r="531" spans="30:30" ht="13" x14ac:dyDescent="0.15">
      <c r="AD531" s="39"/>
    </row>
    <row r="532" spans="30:30" ht="13" x14ac:dyDescent="0.15">
      <c r="AD532" s="39"/>
    </row>
    <row r="533" spans="30:30" ht="13" x14ac:dyDescent="0.15">
      <c r="AD533" s="39"/>
    </row>
    <row r="534" spans="30:30" ht="13" x14ac:dyDescent="0.15">
      <c r="AD534" s="39"/>
    </row>
    <row r="535" spans="30:30" ht="13" x14ac:dyDescent="0.15">
      <c r="AD535" s="39"/>
    </row>
    <row r="536" spans="30:30" ht="13" x14ac:dyDescent="0.15">
      <c r="AD536" s="39"/>
    </row>
    <row r="537" spans="30:30" ht="13" x14ac:dyDescent="0.15">
      <c r="AD537" s="39"/>
    </row>
    <row r="538" spans="30:30" ht="13" x14ac:dyDescent="0.15">
      <c r="AD538" s="39"/>
    </row>
    <row r="539" spans="30:30" ht="13" x14ac:dyDescent="0.15">
      <c r="AD539" s="39"/>
    </row>
    <row r="540" spans="30:30" ht="13" x14ac:dyDescent="0.15">
      <c r="AD540" s="39"/>
    </row>
    <row r="541" spans="30:30" ht="13" x14ac:dyDescent="0.15">
      <c r="AD541" s="39"/>
    </row>
    <row r="542" spans="30:30" ht="13" x14ac:dyDescent="0.15">
      <c r="AD542" s="39"/>
    </row>
    <row r="543" spans="30:30" ht="13" x14ac:dyDescent="0.15">
      <c r="AD543" s="39"/>
    </row>
    <row r="544" spans="30:30" ht="13" x14ac:dyDescent="0.15">
      <c r="AD544" s="39"/>
    </row>
    <row r="545" spans="30:30" ht="13" x14ac:dyDescent="0.15">
      <c r="AD545" s="39"/>
    </row>
    <row r="546" spans="30:30" ht="13" x14ac:dyDescent="0.15">
      <c r="AD546" s="39"/>
    </row>
    <row r="547" spans="30:30" ht="13" x14ac:dyDescent="0.15">
      <c r="AD547" s="39"/>
    </row>
    <row r="548" spans="30:30" ht="13" x14ac:dyDescent="0.15">
      <c r="AD548" s="39"/>
    </row>
    <row r="549" spans="30:30" ht="13" x14ac:dyDescent="0.15">
      <c r="AD549" s="39"/>
    </row>
    <row r="550" spans="30:30" ht="13" x14ac:dyDescent="0.15">
      <c r="AD550" s="39"/>
    </row>
    <row r="551" spans="30:30" ht="13" x14ac:dyDescent="0.15">
      <c r="AD551" s="39"/>
    </row>
    <row r="552" spans="30:30" ht="13" x14ac:dyDescent="0.15">
      <c r="AD552" s="39"/>
    </row>
    <row r="553" spans="30:30" ht="13" x14ac:dyDescent="0.15">
      <c r="AD553" s="39"/>
    </row>
    <row r="554" spans="30:30" ht="13" x14ac:dyDescent="0.15">
      <c r="AD554" s="39"/>
    </row>
    <row r="555" spans="30:30" ht="13" x14ac:dyDescent="0.15">
      <c r="AD555" s="39"/>
    </row>
    <row r="556" spans="30:30" ht="13" x14ac:dyDescent="0.15">
      <c r="AD556" s="39"/>
    </row>
    <row r="557" spans="30:30" ht="13" x14ac:dyDescent="0.15">
      <c r="AD557" s="39"/>
    </row>
    <row r="558" spans="30:30" ht="13" x14ac:dyDescent="0.15">
      <c r="AD558" s="39"/>
    </row>
    <row r="559" spans="30:30" ht="13" x14ac:dyDescent="0.15">
      <c r="AD559" s="39"/>
    </row>
    <row r="560" spans="30:30" ht="13" x14ac:dyDescent="0.15">
      <c r="AD560" s="39"/>
    </row>
    <row r="561" spans="30:30" ht="13" x14ac:dyDescent="0.15">
      <c r="AD561" s="39"/>
    </row>
    <row r="562" spans="30:30" ht="13" x14ac:dyDescent="0.15">
      <c r="AD562" s="39"/>
    </row>
    <row r="563" spans="30:30" ht="13" x14ac:dyDescent="0.15">
      <c r="AD563" s="39"/>
    </row>
    <row r="564" spans="30:30" ht="13" x14ac:dyDescent="0.15">
      <c r="AD564" s="39"/>
    </row>
    <row r="565" spans="30:30" ht="13" x14ac:dyDescent="0.15">
      <c r="AD565" s="39"/>
    </row>
    <row r="566" spans="30:30" ht="13" x14ac:dyDescent="0.15">
      <c r="AD566" s="39"/>
    </row>
    <row r="567" spans="30:30" ht="13" x14ac:dyDescent="0.15">
      <c r="AD567" s="39"/>
    </row>
    <row r="568" spans="30:30" ht="13" x14ac:dyDescent="0.15">
      <c r="AD568" s="39"/>
    </row>
    <row r="569" spans="30:30" ht="13" x14ac:dyDescent="0.15">
      <c r="AD569" s="39"/>
    </row>
    <row r="570" spans="30:30" ht="13" x14ac:dyDescent="0.15">
      <c r="AD570" s="39"/>
    </row>
    <row r="571" spans="30:30" ht="13" x14ac:dyDescent="0.15">
      <c r="AD571" s="39"/>
    </row>
    <row r="572" spans="30:30" ht="13" x14ac:dyDescent="0.15">
      <c r="AD572" s="39"/>
    </row>
    <row r="573" spans="30:30" ht="13" x14ac:dyDescent="0.15">
      <c r="AD573" s="39"/>
    </row>
    <row r="574" spans="30:30" ht="13" x14ac:dyDescent="0.15">
      <c r="AD574" s="39"/>
    </row>
    <row r="575" spans="30:30" ht="13" x14ac:dyDescent="0.15">
      <c r="AD575" s="39"/>
    </row>
    <row r="576" spans="30:30" ht="13" x14ac:dyDescent="0.15">
      <c r="AD576" s="39"/>
    </row>
    <row r="577" spans="30:30" ht="13" x14ac:dyDescent="0.15">
      <c r="AD577" s="39"/>
    </row>
    <row r="578" spans="30:30" ht="13" x14ac:dyDescent="0.15">
      <c r="AD578" s="39"/>
    </row>
    <row r="579" spans="30:30" ht="13" x14ac:dyDescent="0.15">
      <c r="AD579" s="39"/>
    </row>
    <row r="580" spans="30:30" ht="13" x14ac:dyDescent="0.15">
      <c r="AD580" s="39"/>
    </row>
    <row r="581" spans="30:30" ht="13" x14ac:dyDescent="0.15">
      <c r="AD581" s="39"/>
    </row>
    <row r="582" spans="30:30" ht="13" x14ac:dyDescent="0.15">
      <c r="AD582" s="39"/>
    </row>
    <row r="583" spans="30:30" ht="13" x14ac:dyDescent="0.15">
      <c r="AD583" s="39"/>
    </row>
    <row r="584" spans="30:30" ht="13" x14ac:dyDescent="0.15">
      <c r="AD584" s="39"/>
    </row>
    <row r="585" spans="30:30" ht="13" x14ac:dyDescent="0.15">
      <c r="AD585" s="39"/>
    </row>
    <row r="586" spans="30:30" ht="13" x14ac:dyDescent="0.15">
      <c r="AD586" s="39"/>
    </row>
    <row r="587" spans="30:30" ht="13" x14ac:dyDescent="0.15">
      <c r="AD587" s="39"/>
    </row>
    <row r="588" spans="30:30" ht="13" x14ac:dyDescent="0.15">
      <c r="AD588" s="39"/>
    </row>
    <row r="589" spans="30:30" ht="13" x14ac:dyDescent="0.15">
      <c r="AD589" s="39"/>
    </row>
    <row r="590" spans="30:30" ht="13" x14ac:dyDescent="0.15">
      <c r="AD590" s="39"/>
    </row>
    <row r="591" spans="30:30" ht="13" x14ac:dyDescent="0.15">
      <c r="AD591" s="39"/>
    </row>
    <row r="592" spans="30:30" ht="13" x14ac:dyDescent="0.15">
      <c r="AD592" s="39"/>
    </row>
    <row r="593" spans="30:30" ht="13" x14ac:dyDescent="0.15">
      <c r="AD593" s="39"/>
    </row>
    <row r="594" spans="30:30" ht="13" x14ac:dyDescent="0.15">
      <c r="AD594" s="39"/>
    </row>
    <row r="595" spans="30:30" ht="13" x14ac:dyDescent="0.15">
      <c r="AD595" s="39"/>
    </row>
    <row r="596" spans="30:30" ht="13" x14ac:dyDescent="0.15">
      <c r="AD596" s="39"/>
    </row>
    <row r="597" spans="30:30" ht="13" x14ac:dyDescent="0.15">
      <c r="AD597" s="39"/>
    </row>
    <row r="598" spans="30:30" ht="13" x14ac:dyDescent="0.15">
      <c r="AD598" s="39"/>
    </row>
    <row r="599" spans="30:30" ht="13" x14ac:dyDescent="0.15">
      <c r="AD599" s="39"/>
    </row>
    <row r="600" spans="30:30" ht="13" x14ac:dyDescent="0.15">
      <c r="AD600" s="39"/>
    </row>
    <row r="601" spans="30:30" ht="13" x14ac:dyDescent="0.15">
      <c r="AD601" s="39"/>
    </row>
    <row r="602" spans="30:30" ht="13" x14ac:dyDescent="0.15">
      <c r="AD602" s="39"/>
    </row>
    <row r="603" spans="30:30" ht="13" x14ac:dyDescent="0.15">
      <c r="AD603" s="39"/>
    </row>
    <row r="604" spans="30:30" ht="13" x14ac:dyDescent="0.15">
      <c r="AD604" s="39"/>
    </row>
    <row r="605" spans="30:30" ht="13" x14ac:dyDescent="0.15">
      <c r="AD605" s="39"/>
    </row>
    <row r="606" spans="30:30" ht="13" x14ac:dyDescent="0.15">
      <c r="AD606" s="39"/>
    </row>
    <row r="607" spans="30:30" ht="13" x14ac:dyDescent="0.15">
      <c r="AD607" s="39"/>
    </row>
    <row r="608" spans="30:30" ht="13" x14ac:dyDescent="0.15">
      <c r="AD608" s="39"/>
    </row>
    <row r="609" spans="30:30" ht="13" x14ac:dyDescent="0.15">
      <c r="AD609" s="39"/>
    </row>
    <row r="610" spans="30:30" ht="13" x14ac:dyDescent="0.15">
      <c r="AD610" s="39"/>
    </row>
    <row r="611" spans="30:30" ht="13" x14ac:dyDescent="0.15">
      <c r="AD611" s="39"/>
    </row>
    <row r="612" spans="30:30" ht="13" x14ac:dyDescent="0.15">
      <c r="AD612" s="39"/>
    </row>
    <row r="613" spans="30:30" ht="13" x14ac:dyDescent="0.15">
      <c r="AD613" s="39"/>
    </row>
    <row r="614" spans="30:30" ht="13" x14ac:dyDescent="0.15">
      <c r="AD614" s="39"/>
    </row>
    <row r="615" spans="30:30" ht="13" x14ac:dyDescent="0.15">
      <c r="AD615" s="39"/>
    </row>
    <row r="616" spans="30:30" ht="13" x14ac:dyDescent="0.15">
      <c r="AD616" s="39"/>
    </row>
    <row r="617" spans="30:30" ht="13" x14ac:dyDescent="0.15">
      <c r="AD617" s="39"/>
    </row>
    <row r="618" spans="30:30" ht="13" x14ac:dyDescent="0.15">
      <c r="AD618" s="39"/>
    </row>
    <row r="619" spans="30:30" ht="13" x14ac:dyDescent="0.15">
      <c r="AD619" s="39"/>
    </row>
    <row r="620" spans="30:30" ht="13" x14ac:dyDescent="0.15">
      <c r="AD620" s="39"/>
    </row>
    <row r="621" spans="30:30" ht="13" x14ac:dyDescent="0.15">
      <c r="AD621" s="39"/>
    </row>
    <row r="622" spans="30:30" ht="13" x14ac:dyDescent="0.15">
      <c r="AD622" s="39"/>
    </row>
    <row r="623" spans="30:30" ht="13" x14ac:dyDescent="0.15">
      <c r="AD623" s="39"/>
    </row>
    <row r="624" spans="30:30" ht="13" x14ac:dyDescent="0.15">
      <c r="AD624" s="39"/>
    </row>
    <row r="625" spans="30:30" ht="13" x14ac:dyDescent="0.15">
      <c r="AD625" s="39"/>
    </row>
    <row r="626" spans="30:30" ht="13" x14ac:dyDescent="0.15">
      <c r="AD626" s="39"/>
    </row>
    <row r="627" spans="30:30" ht="13" x14ac:dyDescent="0.15">
      <c r="AD627" s="39"/>
    </row>
    <row r="628" spans="30:30" ht="13" x14ac:dyDescent="0.15">
      <c r="AD628" s="39"/>
    </row>
    <row r="629" spans="30:30" ht="13" x14ac:dyDescent="0.15">
      <c r="AD629" s="39"/>
    </row>
    <row r="630" spans="30:30" ht="13" x14ac:dyDescent="0.15">
      <c r="AD630" s="39"/>
    </row>
    <row r="631" spans="30:30" ht="13" x14ac:dyDescent="0.15">
      <c r="AD631" s="39"/>
    </row>
    <row r="632" spans="30:30" ht="13" x14ac:dyDescent="0.15">
      <c r="AD632" s="39"/>
    </row>
    <row r="633" spans="30:30" ht="13" x14ac:dyDescent="0.15">
      <c r="AD633" s="39"/>
    </row>
    <row r="634" spans="30:30" ht="13" x14ac:dyDescent="0.15">
      <c r="AD634" s="39"/>
    </row>
    <row r="635" spans="30:30" ht="13" x14ac:dyDescent="0.15">
      <c r="AD635" s="39"/>
    </row>
    <row r="636" spans="30:30" ht="13" x14ac:dyDescent="0.15">
      <c r="AD636" s="39"/>
    </row>
    <row r="637" spans="30:30" ht="13" x14ac:dyDescent="0.15">
      <c r="AD637" s="39"/>
    </row>
    <row r="638" spans="30:30" ht="13" x14ac:dyDescent="0.15">
      <c r="AD638" s="39"/>
    </row>
    <row r="639" spans="30:30" ht="13" x14ac:dyDescent="0.15">
      <c r="AD639" s="39"/>
    </row>
    <row r="640" spans="30:30" ht="13" x14ac:dyDescent="0.15">
      <c r="AD640" s="39"/>
    </row>
    <row r="641" spans="30:30" ht="13" x14ac:dyDescent="0.15">
      <c r="AD641" s="39"/>
    </row>
    <row r="642" spans="30:30" ht="13" x14ac:dyDescent="0.15">
      <c r="AD642" s="39"/>
    </row>
    <row r="643" spans="30:30" ht="13" x14ac:dyDescent="0.15">
      <c r="AD643" s="39"/>
    </row>
    <row r="644" spans="30:30" ht="13" x14ac:dyDescent="0.15">
      <c r="AD644" s="39"/>
    </row>
    <row r="645" spans="30:30" ht="13" x14ac:dyDescent="0.15">
      <c r="AD645" s="39"/>
    </row>
    <row r="646" spans="30:30" ht="13" x14ac:dyDescent="0.15">
      <c r="AD646" s="39"/>
    </row>
    <row r="647" spans="30:30" ht="13" x14ac:dyDescent="0.15">
      <c r="AD647" s="39"/>
    </row>
    <row r="648" spans="30:30" ht="13" x14ac:dyDescent="0.15">
      <c r="AD648" s="39"/>
    </row>
    <row r="649" spans="30:30" ht="13" x14ac:dyDescent="0.15">
      <c r="AD649" s="39"/>
    </row>
    <row r="650" spans="30:30" ht="13" x14ac:dyDescent="0.15">
      <c r="AD650" s="39"/>
    </row>
    <row r="651" spans="30:30" ht="13" x14ac:dyDescent="0.15">
      <c r="AD651" s="39"/>
    </row>
    <row r="652" spans="30:30" ht="13" x14ac:dyDescent="0.15">
      <c r="AD652" s="39"/>
    </row>
    <row r="653" spans="30:30" ht="13" x14ac:dyDescent="0.15">
      <c r="AD653" s="39"/>
    </row>
    <row r="654" spans="30:30" ht="13" x14ac:dyDescent="0.15">
      <c r="AD654" s="39"/>
    </row>
    <row r="655" spans="30:30" ht="13" x14ac:dyDescent="0.15">
      <c r="AD655" s="39"/>
    </row>
    <row r="656" spans="30:30" ht="13" x14ac:dyDescent="0.15">
      <c r="AD656" s="39"/>
    </row>
    <row r="657" spans="30:30" ht="13" x14ac:dyDescent="0.15">
      <c r="AD657" s="39"/>
    </row>
    <row r="658" spans="30:30" ht="13" x14ac:dyDescent="0.15">
      <c r="AD658" s="39"/>
    </row>
    <row r="659" spans="30:30" ht="13" x14ac:dyDescent="0.15">
      <c r="AD659" s="39"/>
    </row>
    <row r="660" spans="30:30" ht="13" x14ac:dyDescent="0.15">
      <c r="AD660" s="39"/>
    </row>
    <row r="661" spans="30:30" ht="13" x14ac:dyDescent="0.15">
      <c r="AD661" s="39"/>
    </row>
    <row r="662" spans="30:30" ht="13" x14ac:dyDescent="0.15">
      <c r="AD662" s="39"/>
    </row>
    <row r="663" spans="30:30" ht="13" x14ac:dyDescent="0.15">
      <c r="AD663" s="39"/>
    </row>
    <row r="664" spans="30:30" ht="13" x14ac:dyDescent="0.15">
      <c r="AD664" s="39"/>
    </row>
    <row r="665" spans="30:30" ht="13" x14ac:dyDescent="0.15">
      <c r="AD665" s="39"/>
    </row>
    <row r="666" spans="30:30" ht="13" x14ac:dyDescent="0.15">
      <c r="AD666" s="39"/>
    </row>
    <row r="667" spans="30:30" ht="13" x14ac:dyDescent="0.15">
      <c r="AD667" s="39"/>
    </row>
    <row r="668" spans="30:30" ht="13" x14ac:dyDescent="0.15">
      <c r="AD668" s="39"/>
    </row>
    <row r="669" spans="30:30" ht="13" x14ac:dyDescent="0.15">
      <c r="AD669" s="39"/>
    </row>
    <row r="670" spans="30:30" ht="13" x14ac:dyDescent="0.15">
      <c r="AD670" s="39"/>
    </row>
    <row r="671" spans="30:30" ht="13" x14ac:dyDescent="0.15">
      <c r="AD671" s="39"/>
    </row>
    <row r="672" spans="30:30" ht="13" x14ac:dyDescent="0.15">
      <c r="AD672" s="39"/>
    </row>
    <row r="673" spans="30:30" ht="13" x14ac:dyDescent="0.15">
      <c r="AD673" s="39"/>
    </row>
    <row r="674" spans="30:30" ht="13" x14ac:dyDescent="0.15">
      <c r="AD674" s="39"/>
    </row>
    <row r="675" spans="30:30" ht="13" x14ac:dyDescent="0.15">
      <c r="AD675" s="39"/>
    </row>
    <row r="676" spans="30:30" ht="13" x14ac:dyDescent="0.15">
      <c r="AD676" s="39"/>
    </row>
    <row r="677" spans="30:30" ht="13" x14ac:dyDescent="0.15">
      <c r="AD677" s="39"/>
    </row>
    <row r="678" spans="30:30" ht="13" x14ac:dyDescent="0.15">
      <c r="AD678" s="39"/>
    </row>
    <row r="679" spans="30:30" ht="13" x14ac:dyDescent="0.15">
      <c r="AD679" s="39"/>
    </row>
    <row r="680" spans="30:30" ht="13" x14ac:dyDescent="0.15">
      <c r="AD680" s="39"/>
    </row>
    <row r="681" spans="30:30" ht="13" x14ac:dyDescent="0.15">
      <c r="AD681" s="39"/>
    </row>
    <row r="682" spans="30:30" ht="13" x14ac:dyDescent="0.15">
      <c r="AD682" s="39"/>
    </row>
    <row r="683" spans="30:30" ht="13" x14ac:dyDescent="0.15">
      <c r="AD683" s="39"/>
    </row>
    <row r="684" spans="30:30" ht="13" x14ac:dyDescent="0.15">
      <c r="AD684" s="39"/>
    </row>
    <row r="685" spans="30:30" ht="13" x14ac:dyDescent="0.15">
      <c r="AD685" s="39"/>
    </row>
    <row r="686" spans="30:30" ht="13" x14ac:dyDescent="0.15">
      <c r="AD686" s="39"/>
    </row>
    <row r="687" spans="30:30" ht="13" x14ac:dyDescent="0.15">
      <c r="AD687" s="39"/>
    </row>
    <row r="688" spans="30:30" ht="13" x14ac:dyDescent="0.15">
      <c r="AD688" s="39"/>
    </row>
    <row r="689" spans="30:30" ht="13" x14ac:dyDescent="0.15">
      <c r="AD689" s="39"/>
    </row>
    <row r="690" spans="30:30" ht="13" x14ac:dyDescent="0.15">
      <c r="AD690" s="39"/>
    </row>
    <row r="691" spans="30:30" ht="13" x14ac:dyDescent="0.15">
      <c r="AD691" s="39"/>
    </row>
    <row r="692" spans="30:30" ht="13" x14ac:dyDescent="0.15">
      <c r="AD692" s="39"/>
    </row>
    <row r="693" spans="30:30" ht="13" x14ac:dyDescent="0.15">
      <c r="AD693" s="39"/>
    </row>
    <row r="694" spans="30:30" ht="13" x14ac:dyDescent="0.15">
      <c r="AD694" s="39"/>
    </row>
    <row r="695" spans="30:30" ht="13" x14ac:dyDescent="0.15">
      <c r="AD695" s="39"/>
    </row>
    <row r="696" spans="30:30" ht="13" x14ac:dyDescent="0.15">
      <c r="AD696" s="39"/>
    </row>
    <row r="697" spans="30:30" ht="13" x14ac:dyDescent="0.15">
      <c r="AD697" s="39"/>
    </row>
    <row r="698" spans="30:30" ht="13" x14ac:dyDescent="0.15">
      <c r="AD698" s="39"/>
    </row>
    <row r="699" spans="30:30" ht="13" x14ac:dyDescent="0.15">
      <c r="AD699" s="39"/>
    </row>
    <row r="700" spans="30:30" ht="13" x14ac:dyDescent="0.15">
      <c r="AD700" s="39"/>
    </row>
    <row r="701" spans="30:30" ht="13" x14ac:dyDescent="0.15">
      <c r="AD701" s="39"/>
    </row>
    <row r="702" spans="30:30" ht="13" x14ac:dyDescent="0.15">
      <c r="AD702" s="39"/>
    </row>
    <row r="703" spans="30:30" ht="13" x14ac:dyDescent="0.15">
      <c r="AD703" s="39"/>
    </row>
    <row r="704" spans="30:30" ht="13" x14ac:dyDescent="0.15">
      <c r="AD704" s="39"/>
    </row>
    <row r="705" spans="30:30" ht="13" x14ac:dyDescent="0.15">
      <c r="AD705" s="39"/>
    </row>
    <row r="706" spans="30:30" ht="13" x14ac:dyDescent="0.15">
      <c r="AD706" s="39"/>
    </row>
    <row r="707" spans="30:30" ht="13" x14ac:dyDescent="0.15">
      <c r="AD707" s="39"/>
    </row>
    <row r="708" spans="30:30" ht="13" x14ac:dyDescent="0.15">
      <c r="AD708" s="39"/>
    </row>
    <row r="709" spans="30:30" ht="13" x14ac:dyDescent="0.15">
      <c r="AD709" s="39"/>
    </row>
    <row r="710" spans="30:30" ht="13" x14ac:dyDescent="0.15">
      <c r="AD710" s="39"/>
    </row>
    <row r="711" spans="30:30" ht="13" x14ac:dyDescent="0.15">
      <c r="AD711" s="39"/>
    </row>
    <row r="712" spans="30:30" ht="13" x14ac:dyDescent="0.15">
      <c r="AD712" s="39"/>
    </row>
    <row r="713" spans="30:30" ht="13" x14ac:dyDescent="0.15">
      <c r="AD713" s="39"/>
    </row>
    <row r="714" spans="30:30" ht="13" x14ac:dyDescent="0.15">
      <c r="AD714" s="39"/>
    </row>
    <row r="715" spans="30:30" ht="13" x14ac:dyDescent="0.15">
      <c r="AD715" s="39"/>
    </row>
    <row r="716" spans="30:30" ht="13" x14ac:dyDescent="0.15">
      <c r="AD716" s="39"/>
    </row>
    <row r="717" spans="30:30" ht="13" x14ac:dyDescent="0.15">
      <c r="AD717" s="39"/>
    </row>
    <row r="718" spans="30:30" ht="13" x14ac:dyDescent="0.15">
      <c r="AD718" s="39"/>
    </row>
    <row r="719" spans="30:30" ht="13" x14ac:dyDescent="0.15">
      <c r="AD719" s="39"/>
    </row>
    <row r="720" spans="30:30" ht="13" x14ac:dyDescent="0.15">
      <c r="AD720" s="39"/>
    </row>
    <row r="721" spans="30:30" ht="13" x14ac:dyDescent="0.15">
      <c r="AD721" s="39"/>
    </row>
    <row r="722" spans="30:30" ht="13" x14ac:dyDescent="0.15">
      <c r="AD722" s="39"/>
    </row>
    <row r="723" spans="30:30" ht="13" x14ac:dyDescent="0.15">
      <c r="AD723" s="39"/>
    </row>
    <row r="724" spans="30:30" ht="13" x14ac:dyDescent="0.15">
      <c r="AD724" s="39"/>
    </row>
    <row r="725" spans="30:30" ht="13" x14ac:dyDescent="0.15">
      <c r="AD725" s="39"/>
    </row>
    <row r="726" spans="30:30" ht="13" x14ac:dyDescent="0.15">
      <c r="AD726" s="39"/>
    </row>
    <row r="727" spans="30:30" ht="13" x14ac:dyDescent="0.15">
      <c r="AD727" s="39"/>
    </row>
    <row r="728" spans="30:30" ht="13" x14ac:dyDescent="0.15">
      <c r="AD728" s="39"/>
    </row>
    <row r="729" spans="30:30" ht="13" x14ac:dyDescent="0.15">
      <c r="AD729" s="39"/>
    </row>
    <row r="730" spans="30:30" ht="13" x14ac:dyDescent="0.15">
      <c r="AD730" s="39"/>
    </row>
    <row r="731" spans="30:30" ht="13" x14ac:dyDescent="0.15">
      <c r="AD731" s="39"/>
    </row>
    <row r="732" spans="30:30" ht="13" x14ac:dyDescent="0.15">
      <c r="AD732" s="39"/>
    </row>
    <row r="733" spans="30:30" ht="13" x14ac:dyDescent="0.15">
      <c r="AD733" s="39"/>
    </row>
    <row r="734" spans="30:30" ht="13" x14ac:dyDescent="0.15">
      <c r="AD734" s="39"/>
    </row>
    <row r="735" spans="30:30" ht="13" x14ac:dyDescent="0.15">
      <c r="AD735" s="39"/>
    </row>
    <row r="736" spans="30:30" ht="13" x14ac:dyDescent="0.15">
      <c r="AD736" s="39"/>
    </row>
    <row r="737" spans="30:30" ht="13" x14ac:dyDescent="0.15">
      <c r="AD737" s="39"/>
    </row>
    <row r="738" spans="30:30" ht="13" x14ac:dyDescent="0.15">
      <c r="AD738" s="39"/>
    </row>
    <row r="739" spans="30:30" ht="13" x14ac:dyDescent="0.15">
      <c r="AD739" s="39"/>
    </row>
    <row r="740" spans="30:30" ht="13" x14ac:dyDescent="0.15">
      <c r="AD740" s="39"/>
    </row>
    <row r="741" spans="30:30" ht="13" x14ac:dyDescent="0.15">
      <c r="AD741" s="39"/>
    </row>
    <row r="742" spans="30:30" ht="13" x14ac:dyDescent="0.15">
      <c r="AD742" s="39"/>
    </row>
    <row r="743" spans="30:30" ht="13" x14ac:dyDescent="0.15">
      <c r="AD743" s="39"/>
    </row>
    <row r="744" spans="30:30" ht="13" x14ac:dyDescent="0.15">
      <c r="AD744" s="39"/>
    </row>
    <row r="745" spans="30:30" ht="13" x14ac:dyDescent="0.15">
      <c r="AD745" s="39"/>
    </row>
    <row r="746" spans="30:30" ht="13" x14ac:dyDescent="0.15">
      <c r="AD746" s="39"/>
    </row>
    <row r="747" spans="30:30" ht="13" x14ac:dyDescent="0.15">
      <c r="AD747" s="39"/>
    </row>
    <row r="748" spans="30:30" ht="13" x14ac:dyDescent="0.15">
      <c r="AD748" s="39"/>
    </row>
    <row r="749" spans="30:30" ht="13" x14ac:dyDescent="0.15">
      <c r="AD749" s="39"/>
    </row>
    <row r="750" spans="30:30" ht="13" x14ac:dyDescent="0.15">
      <c r="AD750" s="39"/>
    </row>
    <row r="751" spans="30:30" ht="13" x14ac:dyDescent="0.15">
      <c r="AD751" s="39"/>
    </row>
    <row r="752" spans="30:30" ht="13" x14ac:dyDescent="0.15">
      <c r="AD752" s="39"/>
    </row>
    <row r="753" spans="30:30" ht="13" x14ac:dyDescent="0.15">
      <c r="AD753" s="39"/>
    </row>
    <row r="754" spans="30:30" ht="13" x14ac:dyDescent="0.15">
      <c r="AD754" s="39"/>
    </row>
    <row r="755" spans="30:30" ht="13" x14ac:dyDescent="0.15">
      <c r="AD755" s="39"/>
    </row>
    <row r="756" spans="30:30" ht="13" x14ac:dyDescent="0.15">
      <c r="AD756" s="39"/>
    </row>
    <row r="757" spans="30:30" ht="13" x14ac:dyDescent="0.15">
      <c r="AD757" s="39"/>
    </row>
    <row r="758" spans="30:30" ht="13" x14ac:dyDescent="0.15">
      <c r="AD758" s="39"/>
    </row>
    <row r="759" spans="30:30" ht="13" x14ac:dyDescent="0.15">
      <c r="AD759" s="39"/>
    </row>
    <row r="760" spans="30:30" ht="13" x14ac:dyDescent="0.15">
      <c r="AD760" s="39"/>
    </row>
    <row r="761" spans="30:30" ht="13" x14ac:dyDescent="0.15">
      <c r="AD761" s="39"/>
    </row>
    <row r="762" spans="30:30" ht="13" x14ac:dyDescent="0.15">
      <c r="AD762" s="39"/>
    </row>
    <row r="763" spans="30:30" ht="13" x14ac:dyDescent="0.15">
      <c r="AD763" s="39"/>
    </row>
    <row r="764" spans="30:30" ht="13" x14ac:dyDescent="0.15">
      <c r="AD764" s="39"/>
    </row>
    <row r="765" spans="30:30" ht="13" x14ac:dyDescent="0.15">
      <c r="AD765" s="39"/>
    </row>
    <row r="766" spans="30:30" ht="13" x14ac:dyDescent="0.15">
      <c r="AD766" s="39"/>
    </row>
    <row r="767" spans="30:30" ht="13" x14ac:dyDescent="0.15">
      <c r="AD767" s="39"/>
    </row>
    <row r="768" spans="30:30" ht="13" x14ac:dyDescent="0.15">
      <c r="AD768" s="39"/>
    </row>
    <row r="769" spans="30:30" ht="13" x14ac:dyDescent="0.15">
      <c r="AD769" s="39"/>
    </row>
    <row r="770" spans="30:30" ht="13" x14ac:dyDescent="0.15">
      <c r="AD770" s="39"/>
    </row>
    <row r="771" spans="30:30" ht="13" x14ac:dyDescent="0.15">
      <c r="AD771" s="39"/>
    </row>
    <row r="772" spans="30:30" ht="13" x14ac:dyDescent="0.15">
      <c r="AD772" s="39"/>
    </row>
    <row r="773" spans="30:30" ht="13" x14ac:dyDescent="0.15">
      <c r="AD773" s="39"/>
    </row>
    <row r="774" spans="30:30" ht="13" x14ac:dyDescent="0.15">
      <c r="AD774" s="39"/>
    </row>
    <row r="775" spans="30:30" ht="13" x14ac:dyDescent="0.15">
      <c r="AD775" s="39"/>
    </row>
    <row r="776" spans="30:30" ht="13" x14ac:dyDescent="0.15">
      <c r="AD776" s="39"/>
    </row>
    <row r="777" spans="30:30" ht="13" x14ac:dyDescent="0.15">
      <c r="AD777" s="39"/>
    </row>
    <row r="778" spans="30:30" ht="13" x14ac:dyDescent="0.15">
      <c r="AD778" s="39"/>
    </row>
    <row r="779" spans="30:30" ht="13" x14ac:dyDescent="0.15">
      <c r="AD779" s="39"/>
    </row>
    <row r="780" spans="30:30" ht="13" x14ac:dyDescent="0.15">
      <c r="AD780" s="39"/>
    </row>
    <row r="781" spans="30:30" ht="13" x14ac:dyDescent="0.15">
      <c r="AD781" s="39"/>
    </row>
    <row r="782" spans="30:30" ht="13" x14ac:dyDescent="0.15">
      <c r="AD782" s="39"/>
    </row>
    <row r="783" spans="30:30" ht="13" x14ac:dyDescent="0.15">
      <c r="AD783" s="39"/>
    </row>
    <row r="784" spans="30:30" ht="13" x14ac:dyDescent="0.15">
      <c r="AD784" s="39"/>
    </row>
    <row r="785" spans="30:30" ht="13" x14ac:dyDescent="0.15">
      <c r="AD785" s="39"/>
    </row>
    <row r="786" spans="30:30" ht="13" x14ac:dyDescent="0.15">
      <c r="AD786" s="39"/>
    </row>
    <row r="787" spans="30:30" ht="13" x14ac:dyDescent="0.15">
      <c r="AD787" s="39"/>
    </row>
    <row r="788" spans="30:30" ht="13" x14ac:dyDescent="0.15">
      <c r="AD788" s="39"/>
    </row>
    <row r="789" spans="30:30" ht="13" x14ac:dyDescent="0.15">
      <c r="AD789" s="39"/>
    </row>
    <row r="790" spans="30:30" ht="13" x14ac:dyDescent="0.15">
      <c r="AD790" s="39"/>
    </row>
    <row r="791" spans="30:30" ht="13" x14ac:dyDescent="0.15">
      <c r="AD791" s="39"/>
    </row>
    <row r="792" spans="30:30" ht="13" x14ac:dyDescent="0.15">
      <c r="AD792" s="39"/>
    </row>
    <row r="793" spans="30:30" ht="13" x14ac:dyDescent="0.15">
      <c r="AD793" s="39"/>
    </row>
    <row r="794" spans="30:30" ht="13" x14ac:dyDescent="0.15">
      <c r="AD794" s="39"/>
    </row>
    <row r="795" spans="30:30" ht="13" x14ac:dyDescent="0.15">
      <c r="AD795" s="39"/>
    </row>
    <row r="796" spans="30:30" ht="13" x14ac:dyDescent="0.15">
      <c r="AD796" s="39"/>
    </row>
    <row r="797" spans="30:30" ht="13" x14ac:dyDescent="0.15">
      <c r="AD797" s="39"/>
    </row>
    <row r="798" spans="30:30" ht="13" x14ac:dyDescent="0.15">
      <c r="AD798" s="39"/>
    </row>
    <row r="799" spans="30:30" ht="13" x14ac:dyDescent="0.15">
      <c r="AD799" s="39"/>
    </row>
    <row r="800" spans="30:30" ht="13" x14ac:dyDescent="0.15">
      <c r="AD800" s="39"/>
    </row>
    <row r="801" spans="30:30" ht="13" x14ac:dyDescent="0.15">
      <c r="AD801" s="39"/>
    </row>
    <row r="802" spans="30:30" ht="13" x14ac:dyDescent="0.15">
      <c r="AD802" s="39"/>
    </row>
    <row r="803" spans="30:30" ht="13" x14ac:dyDescent="0.15">
      <c r="AD803" s="39"/>
    </row>
    <row r="804" spans="30:30" ht="13" x14ac:dyDescent="0.15">
      <c r="AD804" s="39"/>
    </row>
    <row r="805" spans="30:30" ht="13" x14ac:dyDescent="0.15">
      <c r="AD805" s="39"/>
    </row>
    <row r="806" spans="30:30" ht="13" x14ac:dyDescent="0.15">
      <c r="AD806" s="39"/>
    </row>
    <row r="807" spans="30:30" ht="13" x14ac:dyDescent="0.15">
      <c r="AD807" s="39"/>
    </row>
    <row r="808" spans="30:30" ht="13" x14ac:dyDescent="0.15">
      <c r="AD808" s="39"/>
    </row>
    <row r="809" spans="30:30" ht="13" x14ac:dyDescent="0.15">
      <c r="AD809" s="39"/>
    </row>
    <row r="810" spans="30:30" ht="13" x14ac:dyDescent="0.15">
      <c r="AD810" s="39"/>
    </row>
    <row r="811" spans="30:30" ht="13" x14ac:dyDescent="0.15">
      <c r="AD811" s="39"/>
    </row>
    <row r="812" spans="30:30" ht="13" x14ac:dyDescent="0.15">
      <c r="AD812" s="39"/>
    </row>
    <row r="813" spans="30:30" ht="13" x14ac:dyDescent="0.15">
      <c r="AD813" s="39"/>
    </row>
    <row r="814" spans="30:30" ht="13" x14ac:dyDescent="0.15">
      <c r="AD814" s="39"/>
    </row>
    <row r="815" spans="30:30" ht="13" x14ac:dyDescent="0.15">
      <c r="AD815" s="39"/>
    </row>
    <row r="816" spans="30:30" ht="13" x14ac:dyDescent="0.15">
      <c r="AD816" s="39"/>
    </row>
    <row r="817" spans="30:30" ht="13" x14ac:dyDescent="0.15">
      <c r="AD817" s="39"/>
    </row>
    <row r="818" spans="30:30" ht="13" x14ac:dyDescent="0.15">
      <c r="AD818" s="39"/>
    </row>
    <row r="819" spans="30:30" ht="13" x14ac:dyDescent="0.15">
      <c r="AD819" s="39"/>
    </row>
    <row r="820" spans="30:30" ht="13" x14ac:dyDescent="0.15">
      <c r="AD820" s="39"/>
    </row>
    <row r="821" spans="30:30" ht="13" x14ac:dyDescent="0.15">
      <c r="AD821" s="39"/>
    </row>
    <row r="822" spans="30:30" ht="13" x14ac:dyDescent="0.15">
      <c r="AD822" s="39"/>
    </row>
    <row r="823" spans="30:30" ht="13" x14ac:dyDescent="0.15">
      <c r="AD823" s="39"/>
    </row>
    <row r="824" spans="30:30" ht="13" x14ac:dyDescent="0.15">
      <c r="AD824" s="39"/>
    </row>
    <row r="825" spans="30:30" ht="13" x14ac:dyDescent="0.15">
      <c r="AD825" s="39"/>
    </row>
    <row r="826" spans="30:30" ht="13" x14ac:dyDescent="0.15">
      <c r="AD826" s="39"/>
    </row>
    <row r="827" spans="30:30" ht="13" x14ac:dyDescent="0.15">
      <c r="AD827" s="39"/>
    </row>
    <row r="828" spans="30:30" ht="13" x14ac:dyDescent="0.15">
      <c r="AD828" s="39"/>
    </row>
    <row r="829" spans="30:30" ht="13" x14ac:dyDescent="0.15">
      <c r="AD829" s="39"/>
    </row>
    <row r="830" spans="30:30" ht="13" x14ac:dyDescent="0.15">
      <c r="AD830" s="39"/>
    </row>
    <row r="831" spans="30:30" ht="13" x14ac:dyDescent="0.15">
      <c r="AD831" s="39"/>
    </row>
    <row r="832" spans="30:30" ht="13" x14ac:dyDescent="0.15">
      <c r="AD832" s="39"/>
    </row>
    <row r="833" spans="30:30" ht="13" x14ac:dyDescent="0.15">
      <c r="AD833" s="39"/>
    </row>
    <row r="834" spans="30:30" ht="13" x14ac:dyDescent="0.15">
      <c r="AD834" s="39"/>
    </row>
    <row r="835" spans="30:30" ht="13" x14ac:dyDescent="0.15">
      <c r="AD835" s="39"/>
    </row>
    <row r="836" spans="30:30" ht="13" x14ac:dyDescent="0.15">
      <c r="AD836" s="39"/>
    </row>
    <row r="837" spans="30:30" ht="13" x14ac:dyDescent="0.15">
      <c r="AD837" s="39"/>
    </row>
    <row r="838" spans="30:30" ht="13" x14ac:dyDescent="0.15">
      <c r="AD838" s="39"/>
    </row>
    <row r="839" spans="30:30" ht="13" x14ac:dyDescent="0.15">
      <c r="AD839" s="39"/>
    </row>
    <row r="840" spans="30:30" ht="13" x14ac:dyDescent="0.15">
      <c r="AD840" s="39"/>
    </row>
    <row r="841" spans="30:30" ht="13" x14ac:dyDescent="0.15">
      <c r="AD841" s="39"/>
    </row>
    <row r="842" spans="30:30" ht="13" x14ac:dyDescent="0.15">
      <c r="AD842" s="39"/>
    </row>
    <row r="843" spans="30:30" ht="13" x14ac:dyDescent="0.15">
      <c r="AD843" s="39"/>
    </row>
    <row r="844" spans="30:30" ht="13" x14ac:dyDescent="0.15">
      <c r="AD844" s="39"/>
    </row>
    <row r="845" spans="30:30" ht="13" x14ac:dyDescent="0.15">
      <c r="AD845" s="39"/>
    </row>
    <row r="846" spans="30:30" ht="13" x14ac:dyDescent="0.15">
      <c r="AD846" s="39"/>
    </row>
    <row r="847" spans="30:30" ht="13" x14ac:dyDescent="0.15">
      <c r="AD847" s="39"/>
    </row>
    <row r="848" spans="30:30" ht="13" x14ac:dyDescent="0.15">
      <c r="AD848" s="39"/>
    </row>
    <row r="849" spans="30:30" ht="13" x14ac:dyDescent="0.15">
      <c r="AD849" s="39"/>
    </row>
    <row r="850" spans="30:30" ht="13" x14ac:dyDescent="0.15">
      <c r="AD850" s="39"/>
    </row>
    <row r="851" spans="30:30" ht="13" x14ac:dyDescent="0.15">
      <c r="AD851" s="39"/>
    </row>
    <row r="852" spans="30:30" ht="13" x14ac:dyDescent="0.15">
      <c r="AD852" s="39"/>
    </row>
    <row r="853" spans="30:30" ht="13" x14ac:dyDescent="0.15">
      <c r="AD853" s="39"/>
    </row>
    <row r="854" spans="30:30" ht="13" x14ac:dyDescent="0.15">
      <c r="AD854" s="39"/>
    </row>
    <row r="855" spans="30:30" ht="13" x14ac:dyDescent="0.15">
      <c r="AD855" s="39"/>
    </row>
    <row r="856" spans="30:30" ht="13" x14ac:dyDescent="0.15">
      <c r="AD856" s="39"/>
    </row>
    <row r="857" spans="30:30" ht="13" x14ac:dyDescent="0.15">
      <c r="AD857" s="39"/>
    </row>
    <row r="858" spans="30:30" ht="13" x14ac:dyDescent="0.15">
      <c r="AD858" s="39"/>
    </row>
    <row r="859" spans="30:30" ht="13" x14ac:dyDescent="0.15">
      <c r="AD859" s="39"/>
    </row>
    <row r="860" spans="30:30" ht="13" x14ac:dyDescent="0.15">
      <c r="AD860" s="39"/>
    </row>
    <row r="861" spans="30:30" ht="13" x14ac:dyDescent="0.15">
      <c r="AD861" s="39"/>
    </row>
    <row r="862" spans="30:30" ht="13" x14ac:dyDescent="0.15">
      <c r="AD862" s="39"/>
    </row>
    <row r="863" spans="30:30" ht="13" x14ac:dyDescent="0.15">
      <c r="AD863" s="39"/>
    </row>
    <row r="864" spans="30:30" ht="13" x14ac:dyDescent="0.15">
      <c r="AD864" s="39"/>
    </row>
    <row r="865" spans="30:30" ht="13" x14ac:dyDescent="0.15">
      <c r="AD865" s="39"/>
    </row>
    <row r="866" spans="30:30" ht="13" x14ac:dyDescent="0.15">
      <c r="AD866" s="39"/>
    </row>
    <row r="867" spans="30:30" ht="13" x14ac:dyDescent="0.15">
      <c r="AD867" s="39"/>
    </row>
    <row r="868" spans="30:30" ht="13" x14ac:dyDescent="0.15">
      <c r="AD868" s="39"/>
    </row>
    <row r="869" spans="30:30" ht="13" x14ac:dyDescent="0.15">
      <c r="AD869" s="39"/>
    </row>
    <row r="870" spans="30:30" ht="13" x14ac:dyDescent="0.15">
      <c r="AD870" s="39"/>
    </row>
    <row r="871" spans="30:30" ht="13" x14ac:dyDescent="0.15">
      <c r="AD871" s="39"/>
    </row>
    <row r="872" spans="30:30" ht="13" x14ac:dyDescent="0.15">
      <c r="AD872" s="39"/>
    </row>
    <row r="873" spans="30:30" ht="13" x14ac:dyDescent="0.15">
      <c r="AD873" s="39"/>
    </row>
    <row r="874" spans="30:30" ht="13" x14ac:dyDescent="0.15">
      <c r="AD874" s="39"/>
    </row>
    <row r="875" spans="30:30" ht="13" x14ac:dyDescent="0.15">
      <c r="AD875" s="39"/>
    </row>
    <row r="876" spans="30:30" ht="13" x14ac:dyDescent="0.15">
      <c r="AD876" s="39"/>
    </row>
    <row r="877" spans="30:30" ht="13" x14ac:dyDescent="0.15">
      <c r="AD877" s="39"/>
    </row>
    <row r="878" spans="30:30" ht="13" x14ac:dyDescent="0.15">
      <c r="AD878" s="39"/>
    </row>
    <row r="879" spans="30:30" ht="13" x14ac:dyDescent="0.15">
      <c r="AD879" s="39"/>
    </row>
    <row r="880" spans="30:30" ht="13" x14ac:dyDescent="0.15">
      <c r="AD880" s="39"/>
    </row>
    <row r="881" spans="30:30" ht="13" x14ac:dyDescent="0.15">
      <c r="AD881" s="39"/>
    </row>
    <row r="882" spans="30:30" ht="13" x14ac:dyDescent="0.15">
      <c r="AD882" s="39"/>
    </row>
    <row r="883" spans="30:30" ht="13" x14ac:dyDescent="0.15">
      <c r="AD883" s="39"/>
    </row>
    <row r="884" spans="30:30" ht="13" x14ac:dyDescent="0.15">
      <c r="AD884" s="39"/>
    </row>
    <row r="885" spans="30:30" ht="13" x14ac:dyDescent="0.15">
      <c r="AD885" s="39"/>
    </row>
    <row r="886" spans="30:30" ht="13" x14ac:dyDescent="0.15">
      <c r="AD886" s="39"/>
    </row>
    <row r="887" spans="30:30" ht="13" x14ac:dyDescent="0.15">
      <c r="AD887" s="39"/>
    </row>
    <row r="888" spans="30:30" ht="13" x14ac:dyDescent="0.15">
      <c r="AD888" s="39"/>
    </row>
    <row r="889" spans="30:30" ht="13" x14ac:dyDescent="0.15">
      <c r="AD889" s="39"/>
    </row>
    <row r="890" spans="30:30" ht="13" x14ac:dyDescent="0.15">
      <c r="AD890" s="39"/>
    </row>
    <row r="891" spans="30:30" ht="13" x14ac:dyDescent="0.15">
      <c r="AD891" s="39"/>
    </row>
    <row r="892" spans="30:30" ht="13" x14ac:dyDescent="0.15">
      <c r="AD892" s="39"/>
    </row>
    <row r="893" spans="30:30" ht="13" x14ac:dyDescent="0.15">
      <c r="AD893" s="39"/>
    </row>
    <row r="894" spans="30:30" ht="13" x14ac:dyDescent="0.15">
      <c r="AD894" s="39"/>
    </row>
    <row r="895" spans="30:30" ht="13" x14ac:dyDescent="0.15">
      <c r="AD895" s="39"/>
    </row>
    <row r="896" spans="30:30" ht="13" x14ac:dyDescent="0.15">
      <c r="AD896" s="39"/>
    </row>
    <row r="897" spans="30:30" ht="13" x14ac:dyDescent="0.15">
      <c r="AD897" s="39"/>
    </row>
    <row r="898" spans="30:30" ht="13" x14ac:dyDescent="0.15">
      <c r="AD898" s="39"/>
    </row>
    <row r="899" spans="30:30" ht="13" x14ac:dyDescent="0.15">
      <c r="AD899" s="39"/>
    </row>
    <row r="900" spans="30:30" ht="13" x14ac:dyDescent="0.15">
      <c r="AD900" s="39"/>
    </row>
    <row r="901" spans="30:30" ht="13" x14ac:dyDescent="0.15">
      <c r="AD901" s="39"/>
    </row>
    <row r="902" spans="30:30" ht="13" x14ac:dyDescent="0.15">
      <c r="AD902" s="39"/>
    </row>
    <row r="903" spans="30:30" ht="13" x14ac:dyDescent="0.15">
      <c r="AD903" s="39"/>
    </row>
    <row r="904" spans="30:30" ht="13" x14ac:dyDescent="0.15">
      <c r="AD904" s="39"/>
    </row>
    <row r="905" spans="30:30" ht="13" x14ac:dyDescent="0.15">
      <c r="AD905" s="39"/>
    </row>
    <row r="906" spans="30:30" ht="13" x14ac:dyDescent="0.15">
      <c r="AD906" s="39"/>
    </row>
    <row r="907" spans="30:30" ht="13" x14ac:dyDescent="0.15">
      <c r="AD907" s="39"/>
    </row>
    <row r="908" spans="30:30" ht="13" x14ac:dyDescent="0.15">
      <c r="AD908" s="39"/>
    </row>
    <row r="909" spans="30:30" ht="13" x14ac:dyDescent="0.15">
      <c r="AD909" s="39"/>
    </row>
    <row r="910" spans="30:30" ht="13" x14ac:dyDescent="0.15">
      <c r="AD910" s="39"/>
    </row>
    <row r="911" spans="30:30" ht="13" x14ac:dyDescent="0.15">
      <c r="AD911" s="39"/>
    </row>
    <row r="912" spans="30:30" ht="13" x14ac:dyDescent="0.15">
      <c r="AD912" s="39"/>
    </row>
    <row r="913" spans="30:30" ht="13" x14ac:dyDescent="0.15">
      <c r="AD913" s="39"/>
    </row>
    <row r="914" spans="30:30" ht="13" x14ac:dyDescent="0.15">
      <c r="AD914" s="39"/>
    </row>
    <row r="915" spans="30:30" ht="13" x14ac:dyDescent="0.15">
      <c r="AD915" s="39"/>
    </row>
    <row r="916" spans="30:30" ht="13" x14ac:dyDescent="0.15">
      <c r="AD916" s="39"/>
    </row>
    <row r="917" spans="30:30" ht="13" x14ac:dyDescent="0.15">
      <c r="AD917" s="39"/>
    </row>
    <row r="918" spans="30:30" ht="13" x14ac:dyDescent="0.15">
      <c r="AD918" s="39"/>
    </row>
    <row r="919" spans="30:30" ht="13" x14ac:dyDescent="0.15">
      <c r="AD919" s="39"/>
    </row>
    <row r="920" spans="30:30" ht="13" x14ac:dyDescent="0.15">
      <c r="AD920" s="39"/>
    </row>
    <row r="921" spans="30:30" ht="13" x14ac:dyDescent="0.15">
      <c r="AD921" s="39"/>
    </row>
    <row r="922" spans="30:30" ht="13" x14ac:dyDescent="0.15">
      <c r="AD922" s="39"/>
    </row>
    <row r="923" spans="30:30" ht="13" x14ac:dyDescent="0.15">
      <c r="AD923" s="39"/>
    </row>
    <row r="924" spans="30:30" ht="13" x14ac:dyDescent="0.15">
      <c r="AD924" s="39"/>
    </row>
    <row r="925" spans="30:30" ht="13" x14ac:dyDescent="0.15">
      <c r="AD925" s="39"/>
    </row>
    <row r="926" spans="30:30" ht="13" x14ac:dyDescent="0.15">
      <c r="AD926" s="39"/>
    </row>
    <row r="927" spans="30:30" ht="13" x14ac:dyDescent="0.15">
      <c r="AD927" s="39"/>
    </row>
    <row r="928" spans="30:30" ht="13" x14ac:dyDescent="0.15">
      <c r="AD928" s="39"/>
    </row>
    <row r="929" spans="30:30" ht="13" x14ac:dyDescent="0.15">
      <c r="AD929" s="39"/>
    </row>
    <row r="930" spans="30:30" ht="13" x14ac:dyDescent="0.15">
      <c r="AD930" s="39"/>
    </row>
    <row r="931" spans="30:30" ht="13" x14ac:dyDescent="0.15">
      <c r="AD931" s="39"/>
    </row>
    <row r="932" spans="30:30" ht="13" x14ac:dyDescent="0.15">
      <c r="AD932" s="39"/>
    </row>
    <row r="933" spans="30:30" ht="13" x14ac:dyDescent="0.15">
      <c r="AD933" s="39"/>
    </row>
    <row r="934" spans="30:30" ht="13" x14ac:dyDescent="0.15">
      <c r="AD934" s="39"/>
    </row>
    <row r="935" spans="30:30" ht="13" x14ac:dyDescent="0.15">
      <c r="AD935" s="39"/>
    </row>
    <row r="936" spans="30:30" ht="13" x14ac:dyDescent="0.15">
      <c r="AD936" s="39"/>
    </row>
    <row r="937" spans="30:30" ht="13" x14ac:dyDescent="0.15">
      <c r="AD937" s="39"/>
    </row>
    <row r="938" spans="30:30" ht="13" x14ac:dyDescent="0.15">
      <c r="AD938" s="39"/>
    </row>
    <row r="939" spans="30:30" ht="13" x14ac:dyDescent="0.15">
      <c r="AD939" s="39"/>
    </row>
    <row r="940" spans="30:30" ht="13" x14ac:dyDescent="0.15">
      <c r="AD940" s="39"/>
    </row>
    <row r="941" spans="30:30" ht="13" x14ac:dyDescent="0.15">
      <c r="AD941" s="39"/>
    </row>
    <row r="942" spans="30:30" ht="13" x14ac:dyDescent="0.15">
      <c r="AD942" s="39"/>
    </row>
    <row r="943" spans="30:30" ht="13" x14ac:dyDescent="0.15">
      <c r="AD943" s="39"/>
    </row>
    <row r="944" spans="30:30" ht="13" x14ac:dyDescent="0.15">
      <c r="AD944" s="39"/>
    </row>
    <row r="945" spans="30:30" ht="13" x14ac:dyDescent="0.15">
      <c r="AD945" s="39"/>
    </row>
    <row r="946" spans="30:30" ht="13" x14ac:dyDescent="0.15">
      <c r="AD946" s="39"/>
    </row>
    <row r="947" spans="30:30" ht="13" x14ac:dyDescent="0.15">
      <c r="AD947" s="39"/>
    </row>
    <row r="948" spans="30:30" ht="13" x14ac:dyDescent="0.15">
      <c r="AD948" s="39"/>
    </row>
    <row r="949" spans="30:30" ht="13" x14ac:dyDescent="0.15">
      <c r="AD949" s="39"/>
    </row>
    <row r="950" spans="30:30" ht="13" x14ac:dyDescent="0.15">
      <c r="AD950" s="39"/>
    </row>
    <row r="951" spans="30:30" ht="13" x14ac:dyDescent="0.15">
      <c r="AD951" s="39"/>
    </row>
    <row r="952" spans="30:30" ht="13" x14ac:dyDescent="0.15">
      <c r="AD952" s="39"/>
    </row>
    <row r="953" spans="30:30" ht="13" x14ac:dyDescent="0.15">
      <c r="AD953" s="39"/>
    </row>
    <row r="954" spans="30:30" ht="13" x14ac:dyDescent="0.15">
      <c r="AD954" s="39"/>
    </row>
    <row r="955" spans="30:30" ht="13" x14ac:dyDescent="0.15">
      <c r="AD955" s="39"/>
    </row>
    <row r="956" spans="30:30" ht="13" x14ac:dyDescent="0.15">
      <c r="AD956" s="39"/>
    </row>
    <row r="957" spans="30:30" ht="13" x14ac:dyDescent="0.15">
      <c r="AD957" s="39"/>
    </row>
    <row r="958" spans="30:30" ht="13" x14ac:dyDescent="0.15">
      <c r="AD958" s="39"/>
    </row>
    <row r="959" spans="30:30" ht="13" x14ac:dyDescent="0.15">
      <c r="AD959" s="39"/>
    </row>
    <row r="960" spans="30:30" ht="13" x14ac:dyDescent="0.15">
      <c r="AD960" s="39"/>
    </row>
    <row r="961" spans="30:30" ht="13" x14ac:dyDescent="0.15">
      <c r="AD961" s="39"/>
    </row>
    <row r="962" spans="30:30" ht="13" x14ac:dyDescent="0.15">
      <c r="AD962" s="39"/>
    </row>
    <row r="963" spans="30:30" ht="13" x14ac:dyDescent="0.15">
      <c r="AD963" s="39"/>
    </row>
    <row r="964" spans="30:30" ht="13" x14ac:dyDescent="0.15">
      <c r="AD964" s="39"/>
    </row>
    <row r="965" spans="30:30" ht="13" x14ac:dyDescent="0.15">
      <c r="AD965" s="39"/>
    </row>
    <row r="966" spans="30:30" ht="13" x14ac:dyDescent="0.15">
      <c r="AD966" s="39"/>
    </row>
    <row r="967" spans="30:30" ht="13" x14ac:dyDescent="0.15">
      <c r="AD967" s="39"/>
    </row>
    <row r="968" spans="30:30" ht="13" x14ac:dyDescent="0.15">
      <c r="AD968" s="39"/>
    </row>
    <row r="969" spans="30:30" ht="13" x14ac:dyDescent="0.15">
      <c r="AD969" s="39"/>
    </row>
    <row r="970" spans="30:30" ht="13" x14ac:dyDescent="0.15">
      <c r="AD970" s="39"/>
    </row>
    <row r="971" spans="30:30" ht="13" x14ac:dyDescent="0.15">
      <c r="AD971" s="39"/>
    </row>
    <row r="972" spans="30:30" ht="13" x14ac:dyDescent="0.15">
      <c r="AD972" s="39"/>
    </row>
    <row r="973" spans="30:30" ht="13" x14ac:dyDescent="0.15">
      <c r="AD973" s="39"/>
    </row>
    <row r="974" spans="30:30" ht="13" x14ac:dyDescent="0.15">
      <c r="AD974" s="39"/>
    </row>
    <row r="975" spans="30:30" ht="13" x14ac:dyDescent="0.15">
      <c r="AD975" s="39"/>
    </row>
    <row r="976" spans="30:30" ht="13" x14ac:dyDescent="0.15">
      <c r="AD976" s="39"/>
    </row>
    <row r="977" spans="30:30" ht="13" x14ac:dyDescent="0.15">
      <c r="AD977" s="39"/>
    </row>
    <row r="978" spans="30:30" ht="13" x14ac:dyDescent="0.15">
      <c r="AD978" s="39"/>
    </row>
    <row r="979" spans="30:30" ht="13" x14ac:dyDescent="0.15">
      <c r="AD979" s="39"/>
    </row>
    <row r="980" spans="30:30" ht="13" x14ac:dyDescent="0.15">
      <c r="AD980" s="39"/>
    </row>
    <row r="981" spans="30:30" ht="13" x14ac:dyDescent="0.15">
      <c r="AD981" s="39"/>
    </row>
    <row r="982" spans="30:30" ht="13" x14ac:dyDescent="0.15">
      <c r="AD982" s="39"/>
    </row>
    <row r="983" spans="30:30" ht="13" x14ac:dyDescent="0.15">
      <c r="AD983" s="39"/>
    </row>
    <row r="984" spans="30:30" ht="13" x14ac:dyDescent="0.15">
      <c r="AD984" s="39"/>
    </row>
    <row r="985" spans="30:30" ht="13" x14ac:dyDescent="0.15">
      <c r="AD985" s="39"/>
    </row>
    <row r="986" spans="30:30" ht="13" x14ac:dyDescent="0.15">
      <c r="AD986" s="39"/>
    </row>
    <row r="987" spans="30:30" ht="13" x14ac:dyDescent="0.15">
      <c r="AD987" s="39"/>
    </row>
    <row r="988" spans="30:30" ht="13" x14ac:dyDescent="0.15">
      <c r="AD988" s="39"/>
    </row>
    <row r="989" spans="30:30" ht="13" x14ac:dyDescent="0.15">
      <c r="AD989" s="39"/>
    </row>
    <row r="990" spans="30:30" ht="13" x14ac:dyDescent="0.15">
      <c r="AD990" s="39"/>
    </row>
    <row r="991" spans="30:30" ht="13" x14ac:dyDescent="0.15">
      <c r="AD991" s="39"/>
    </row>
    <row r="992" spans="30:30" ht="13" x14ac:dyDescent="0.15">
      <c r="AD992" s="39"/>
    </row>
    <row r="993" spans="30:30" ht="13" x14ac:dyDescent="0.15">
      <c r="AD993" s="39"/>
    </row>
    <row r="994" spans="30:30" ht="13" x14ac:dyDescent="0.15">
      <c r="AD994" s="39"/>
    </row>
    <row r="995" spans="30:30" ht="13" x14ac:dyDescent="0.15">
      <c r="AD995" s="39"/>
    </row>
    <row r="996" spans="30:30" ht="13" x14ac:dyDescent="0.15">
      <c r="AD996" s="39"/>
    </row>
    <row r="997" spans="30:30" ht="13" x14ac:dyDescent="0.15">
      <c r="AD997" s="39"/>
    </row>
    <row r="998" spans="30:30" ht="13" x14ac:dyDescent="0.15">
      <c r="AD998" s="39"/>
    </row>
    <row r="999" spans="30:30" ht="13" x14ac:dyDescent="0.15">
      <c r="AD999" s="39"/>
    </row>
    <row r="1000" spans="30:30" ht="13" x14ac:dyDescent="0.15">
      <c r="AD1000" s="39"/>
    </row>
  </sheetData>
  <hyperlinks>
    <hyperlink ref="G1" location="null!E9:E15" display="Region" xr:uid="{00000000-0004-0000-0000-000000000000}"/>
    <hyperlink ref="H1" location="null!F16:G19" display="Income Group" xr:uid="{00000000-0004-0000-0000-000001000000}"/>
    <hyperlink ref="I1" location="null!G8:G15" display="Population (millions)" xr:uid="{00000000-0004-0000-0000-000002000000}"/>
    <hyperlink ref="AE1" location="null!A218" display="Number of Earths required" xr:uid="{00000000-0004-0000-0000-000003000000}"/>
    <hyperlink ref="AF1" location="null!A219" display="Number of Countries required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ANDALOUSE BOUHAFS</cp:lastModifiedBy>
  <dcterms:modified xsi:type="dcterms:W3CDTF">2025-12-16T20:28:23Z</dcterms:modified>
</cp:coreProperties>
</file>