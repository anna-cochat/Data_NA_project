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esktop/MIASHS/MasterM1SSD/ProjetNA/"/>
    </mc:Choice>
  </mc:AlternateContent>
  <xr:revisionPtr revIDLastSave="0" documentId="13_ncr:1_{7F372091-23E7-A443-B0C4-50B2BD7BB75B}" xr6:coauthVersionLast="47" xr6:coauthVersionMax="47" xr10:uidLastSave="{00000000-0000-0000-0000-000000000000}"/>
  <bookViews>
    <workbookView xWindow="1180" yWindow="1500" windowWidth="27240" windowHeight="15940" xr2:uid="{51BF20B7-E291-2E45-9488-B06A5382F31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3" i="1" l="1"/>
  <c r="AG32" i="1"/>
  <c r="AG31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AG2" i="1"/>
</calcChain>
</file>

<file path=xl/sharedStrings.xml><?xml version="1.0" encoding="utf-8"?>
<sst xmlns="http://schemas.openxmlformats.org/spreadsheetml/2006/main" count="178" uniqueCount="78">
  <si>
    <t>Somalia</t>
  </si>
  <si>
    <t>3A</t>
  </si>
  <si>
    <t/>
  </si>
  <si>
    <t>-</t>
  </si>
  <si>
    <t>Africa</t>
  </si>
  <si>
    <t>LI</t>
  </si>
  <si>
    <t>South Africa</t>
  </si>
  <si>
    <t>UM</t>
  </si>
  <si>
    <t>South Sudan</t>
  </si>
  <si>
    <t>LM</t>
  </si>
  <si>
    <t>Spain</t>
  </si>
  <si>
    <t>EU</t>
  </si>
  <si>
    <t>HI</t>
  </si>
  <si>
    <t>Sri Lanka</t>
  </si>
  <si>
    <t>Asia-Pacific</t>
  </si>
  <si>
    <t>State of Palestine</t>
  </si>
  <si>
    <t>2B</t>
  </si>
  <si>
    <t>Middle East/Central Asia</t>
  </si>
  <si>
    <t>Sudan</t>
  </si>
  <si>
    <t>Suriname</t>
  </si>
  <si>
    <t>South America</t>
  </si>
  <si>
    <t>Sweden</t>
  </si>
  <si>
    <t>Switzerland</t>
  </si>
  <si>
    <t>Other Europe</t>
  </si>
  <si>
    <t>Syrian Arab Republic</t>
  </si>
  <si>
    <t>Tajikistan</t>
  </si>
  <si>
    <t>2A</t>
  </si>
  <si>
    <t>Tanzania, United Republic of</t>
  </si>
  <si>
    <t>Thailand</t>
  </si>
  <si>
    <t>Timor-Leste</t>
  </si>
  <si>
    <t>Togo</t>
  </si>
  <si>
    <t>Tonga</t>
  </si>
  <si>
    <t>Trinidad and Tobago</t>
  </si>
  <si>
    <t>Central America/Caribbean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</si>
  <si>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</si>
  <si>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</si>
  <si>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</si>
  <si>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</si>
  <si>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</si>
  <si>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</si>
  <si>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</si>
  <si>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 of America</t>
  </si>
  <si>
    <t>North America</t>
  </si>
  <si>
    <t>Uruguay</t>
  </si>
  <si>
    <t>Uzbekistan</t>
  </si>
  <si>
    <t>Vanuatu</t>
  </si>
  <si>
    <t>2C</t>
  </si>
  <si>
    <t>Venezuela, Bolivarian Republic of</t>
  </si>
  <si>
    <t>Viet Nam</t>
  </si>
  <si>
    <t>Yemen</t>
  </si>
  <si>
    <t>Zambia</t>
  </si>
  <si>
    <t>Zimbabwe</t>
  </si>
  <si>
    <t>Country</t>
  </si>
  <si>
    <t>Quality Score</t>
  </si>
  <si>
    <t>SDGi</t>
  </si>
  <si>
    <t>Life Expectancy</t>
  </si>
  <si>
    <t>HDI</t>
  </si>
  <si>
    <t>Per Capita GDP</t>
  </si>
  <si>
    <t>Region</t>
  </si>
  <si>
    <t>Income Group</t>
  </si>
  <si>
    <t>Population (millions)</t>
  </si>
  <si>
    <t>Cropland Footprint</t>
  </si>
  <si>
    <t>Grazing Footprint</t>
  </si>
  <si>
    <t>Forest Product Footprint</t>
  </si>
  <si>
    <t>Fish Footprint</t>
  </si>
  <si>
    <t>Built up land</t>
  </si>
  <si>
    <t>Carbon Footprint</t>
  </si>
  <si>
    <t>Total Ecological Footprint (Production)</t>
  </si>
  <si>
    <t>Total Ecological Footprint (Consumption)</t>
  </si>
  <si>
    <t>Cropland</t>
  </si>
  <si>
    <t>Grazing land</t>
  </si>
  <si>
    <t>Forest land</t>
  </si>
  <si>
    <t>Fishing ground</t>
  </si>
  <si>
    <t xml:space="preserve">Total biocapacity </t>
  </si>
  <si>
    <r>
      <rPr>
        <b/>
        <sz val="11"/>
        <color rgb="FF000000"/>
        <rFont val="Calibri"/>
        <family val="2"/>
      </rPr>
      <t xml:space="preserve">Ecological </t>
    </r>
    <r>
      <rPr>
        <b/>
        <sz val="11"/>
        <color rgb="FF000000"/>
        <rFont val="Calibri"/>
        <family val="2"/>
      </rPr>
      <t xml:space="preserve">(Deficit) </t>
    </r>
    <r>
      <rPr>
        <b/>
        <sz val="11"/>
        <color rgb="FF000000"/>
        <rFont val="Calibri"/>
        <family val="2"/>
      </rPr>
      <t>or Reserve</t>
    </r>
  </si>
  <si>
    <t>Number of Earths required</t>
  </si>
  <si>
    <t>Number of Countries required</t>
  </si>
  <si>
    <t>actual 
Country Overshoot Day 
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</si>
</sst>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&quot;$&quot;#,##0"/>
    <numFmt numFmtId="166" formatCode="_(* #,##0.0_);_(* \(#,##0.0\);_(* &quot;-&quot;??_);_(@_)"/>
    <numFmt numFmtId="167" formatCode="0.0_);[Red]\(0.0\)"/>
    <numFmt numFmtId="168" formatCode="[$-409]mmmm\ d\,\ yyyy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36C09"/>
        <bgColor rgb="FFE36C09"/>
      </patternFill>
    </fill>
    <fill>
      <patternFill patternType="solid">
        <fgColor rgb="FFC00000"/>
        <bgColor rgb="FFC00000"/>
      </patternFill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/>
    <xf numFmtId="165" fontId="1" fillId="0" borderId="0" xfId="0" applyNumberFormat="1" applyFont="1" applyAlignment="1">
      <alignment horizontal="right"/>
    </xf>
    <xf numFmtId="0" fontId="1" fillId="0" borderId="0" xfId="0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  <xf numFmtId="164" fontId="1" fillId="4" borderId="0" xfId="0" applyNumberFormat="1" applyFont="1" applyFill="1" applyAlignment="1">
      <alignment horizontal="right"/>
    </xf>
    <xf numFmtId="167" fontId="2" fillId="5" borderId="0" xfId="0" applyNumberFormat="1" applyFont="1" applyFill="1" applyAlignment="1">
      <alignment horizontal="center"/>
    </xf>
    <xf numFmtId="168" fontId="1" fillId="0" borderId="2" xfId="0" applyNumberFormat="1" applyFont="1" applyBorder="1"/>
    <xf numFmtId="1" fontId="1" fillId="0" borderId="0" xfId="0" applyNumberFormat="1" applyFont="1"/>
    <xf numFmtId="2" fontId="1" fillId="0" borderId="0" xfId="0" applyNumberFormat="1" applyFont="1" applyAlignment="1">
      <alignment horizontal="center"/>
    </xf>
    <xf numFmtId="168" fontId="1" fillId="0" borderId="2" xfId="0" applyNumberFormat="1" applyFont="1" applyBorder="1" applyAlignment="1">
      <alignment horizontal="center"/>
    </xf>
    <xf numFmtId="165" fontId="1" fillId="0" borderId="0" xfId="0" quotePrefix="1" applyNumberFormat="1" applyFont="1" applyAlignment="1">
      <alignment horizontal="right"/>
    </xf>
    <xf numFmtId="167" fontId="1" fillId="0" borderId="0" xfId="0" applyNumberFormat="1" applyFont="1" applyAlignment="1">
      <alignment horizontal="center"/>
    </xf>
    <xf numFmtId="164" fontId="1" fillId="0" borderId="0" xfId="0" applyNumberFormat="1" applyFont="1"/>
    <xf numFmtId="164" fontId="1" fillId="2" borderId="0" xfId="0" applyNumberFormat="1" applyFont="1" applyFill="1"/>
    <xf numFmtId="164" fontId="1" fillId="3" borderId="0" xfId="0" applyNumberFormat="1" applyFont="1" applyFill="1"/>
    <xf numFmtId="164" fontId="1" fillId="4" borderId="0" xfId="0" applyNumberFormat="1" applyFont="1" applyFill="1"/>
    <xf numFmtId="167" fontId="1" fillId="0" borderId="0" xfId="0" applyNumberFormat="1" applyFont="1"/>
    <xf numFmtId="164" fontId="1" fillId="5" borderId="0" xfId="0" applyNumberFormat="1" applyFont="1" applyFill="1"/>
    <xf numFmtId="168" fontId="1" fillId="5" borderId="2" xfId="0" applyNumberFormat="1" applyFont="1" applyFill="1" applyBorder="1"/>
    <xf numFmtId="164" fontId="1" fillId="5" borderId="0" xfId="0" applyNumberFormat="1" applyFont="1" applyFill="1" applyAlignment="1">
      <alignment horizontal="right"/>
    </xf>
    <xf numFmtId="168" fontId="1" fillId="5" borderId="2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" fontId="1" fillId="0" borderId="4" xfId="0" applyNumberFormat="1" applyFont="1" applyBorder="1"/>
    <xf numFmtId="2" fontId="1" fillId="0" borderId="4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right"/>
    </xf>
    <xf numFmtId="0" fontId="1" fillId="0" borderId="4" xfId="0" applyFont="1" applyBorder="1"/>
    <xf numFmtId="166" fontId="1" fillId="0" borderId="4" xfId="0" applyNumberFormat="1" applyFont="1" applyBorder="1" applyAlignment="1">
      <alignment horizontal="right"/>
    </xf>
    <xf numFmtId="164" fontId="1" fillId="0" borderId="4" xfId="0" applyNumberFormat="1" applyFont="1" applyBorder="1" applyAlignment="1">
      <alignment horizontal="right"/>
    </xf>
    <xf numFmtId="164" fontId="1" fillId="2" borderId="4" xfId="0" applyNumberFormat="1" applyFont="1" applyFill="1" applyBorder="1" applyAlignment="1">
      <alignment horizontal="right"/>
    </xf>
    <xf numFmtId="164" fontId="1" fillId="5" borderId="4" xfId="0" applyNumberFormat="1" applyFont="1" applyFill="1" applyBorder="1" applyAlignment="1">
      <alignment horizontal="right"/>
    </xf>
    <xf numFmtId="164" fontId="1" fillId="3" borderId="4" xfId="0" applyNumberFormat="1" applyFont="1" applyFill="1" applyBorder="1" applyAlignment="1">
      <alignment horizontal="right"/>
    </xf>
    <xf numFmtId="164" fontId="1" fillId="4" borderId="4" xfId="0" applyNumberFormat="1" applyFont="1" applyFill="1" applyBorder="1" applyAlignment="1">
      <alignment horizontal="right"/>
    </xf>
    <xf numFmtId="167" fontId="2" fillId="5" borderId="4" xfId="0" applyNumberFormat="1" applyFont="1" applyFill="1" applyBorder="1" applyAlignment="1">
      <alignment horizontal="center"/>
    </xf>
    <xf numFmtId="168" fontId="1" fillId="0" borderId="5" xfId="0" applyNumberFormat="1" applyFont="1" applyBorder="1"/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168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117BD-898B-7943-B995-1196BC2550BF}">
  <dimension ref="A1:AG35"/>
  <sheetViews>
    <sheetView tabSelected="1" topLeftCell="A10" workbookViewId="0">
      <selection activeCell="C38" sqref="C38"/>
    </sheetView>
  </sheetViews>
  <sheetFormatPr baseColWidth="10" defaultRowHeight="16" x14ac:dyDescent="0.2"/>
  <sheetData>
    <row r="1" spans="1:33" ht="80" x14ac:dyDescent="0.2">
      <c r="A1" s="44" t="s">
        <v>52</v>
      </c>
      <c r="B1" s="44" t="s">
        <v>53</v>
      </c>
      <c r="C1" s="44" t="s">
        <v>54</v>
      </c>
      <c r="D1" s="44" t="s">
        <v>55</v>
      </c>
      <c r="E1" s="44" t="s">
        <v>56</v>
      </c>
      <c r="F1" s="44" t="s">
        <v>57</v>
      </c>
      <c r="G1" s="44" t="s">
        <v>58</v>
      </c>
      <c r="H1" s="44" t="s">
        <v>59</v>
      </c>
      <c r="I1" s="44" t="s">
        <v>60</v>
      </c>
      <c r="J1" s="45" t="s">
        <v>61</v>
      </c>
      <c r="K1" s="45" t="s">
        <v>62</v>
      </c>
      <c r="L1" s="45" t="s">
        <v>63</v>
      </c>
      <c r="M1" s="45" t="s">
        <v>64</v>
      </c>
      <c r="N1" s="45" t="s">
        <v>65</v>
      </c>
      <c r="O1" s="45" t="s">
        <v>66</v>
      </c>
      <c r="P1" s="46" t="s">
        <v>67</v>
      </c>
      <c r="Q1" s="45" t="s">
        <v>61</v>
      </c>
      <c r="R1" s="45" t="s">
        <v>62</v>
      </c>
      <c r="S1" s="45" t="s">
        <v>63</v>
      </c>
      <c r="T1" s="45" t="s">
        <v>64</v>
      </c>
      <c r="U1" s="45" t="s">
        <v>65</v>
      </c>
      <c r="V1" s="45" t="s">
        <v>66</v>
      </c>
      <c r="W1" s="46" t="s">
        <v>68</v>
      </c>
      <c r="X1" s="45" t="s">
        <v>69</v>
      </c>
      <c r="Y1" s="45" t="s">
        <v>70</v>
      </c>
      <c r="Z1" s="45" t="s">
        <v>71</v>
      </c>
      <c r="AA1" s="45" t="s">
        <v>72</v>
      </c>
      <c r="AB1" s="45" t="s">
        <v>65</v>
      </c>
      <c r="AC1" s="46" t="s">
        <v>73</v>
      </c>
      <c r="AD1" s="45" t="s">
        <v>74</v>
      </c>
      <c r="AE1" s="45" t="s">
        <v>75</v>
      </c>
      <c r="AF1" s="45" t="s">
        <v>76</v>
      </c>
      <c r="AG1" s="47" t="s">
        <v>77</v>
      </c>
    </row>
    <row r="2" spans="1:33" x14ac:dyDescent="0.2">
      <c r="A2" s="1" t="s">
        <v>0</v>
      </c>
      <c r="B2" s="2" t="s">
        <v>1</v>
      </c>
      <c r="C2" s="3">
        <v>45.6</v>
      </c>
      <c r="D2" s="4">
        <v>57.067999999999998</v>
      </c>
      <c r="E2" s="5" t="s">
        <v>2</v>
      </c>
      <c r="F2" s="6" t="s">
        <v>3</v>
      </c>
      <c r="G2" s="7" t="s">
        <v>4</v>
      </c>
      <c r="H2" s="2" t="s">
        <v>5</v>
      </c>
      <c r="I2" s="8">
        <v>15.0082001953126</v>
      </c>
      <c r="J2" s="9">
        <v>3.9673922856796398E-2</v>
      </c>
      <c r="K2" s="9">
        <v>0.383808446611211</v>
      </c>
      <c r="L2" s="9">
        <v>0.39719940208170601</v>
      </c>
      <c r="M2" s="9">
        <v>3.0340618701414201E-3</v>
      </c>
      <c r="N2" s="9">
        <v>2.9469648697434899E-2</v>
      </c>
      <c r="O2" s="9">
        <v>1.5500530269947899E-2</v>
      </c>
      <c r="P2" s="10">
        <v>0.86868601238723697</v>
      </c>
      <c r="Q2" s="9">
        <v>0.16626563795740401</v>
      </c>
      <c r="R2" s="9">
        <v>0.37040533057734498</v>
      </c>
      <c r="S2" s="9">
        <v>0.40920431212853797</v>
      </c>
      <c r="T2" s="9">
        <v>3.85507623988079E-3</v>
      </c>
      <c r="U2" s="9">
        <v>2.9469648697434899E-2</v>
      </c>
      <c r="V2" s="9">
        <v>3.6821683644652603E-2</v>
      </c>
      <c r="W2" s="11">
        <v>1.01602168924525</v>
      </c>
      <c r="X2" s="9">
        <v>3.9673922856796398E-2</v>
      </c>
      <c r="Y2" s="9">
        <v>0.383808446611211</v>
      </c>
      <c r="Z2" s="9">
        <v>0.13796119218195099</v>
      </c>
      <c r="AA2" s="9">
        <v>0.22705379606094001</v>
      </c>
      <c r="AB2" s="9">
        <v>2.9469648697434899E-2</v>
      </c>
      <c r="AC2" s="12">
        <v>0.81796700640833298</v>
      </c>
      <c r="AD2" s="13">
        <v>-0.19805468283691707</v>
      </c>
      <c r="AE2" s="9">
        <v>0.64198561549144362</v>
      </c>
      <c r="AF2" s="9">
        <v>1.2421304053650879</v>
      </c>
      <c r="AG2" s="14" t="str">
        <f t="shared" ref="AG2:AG35" si="0">IF(AE2&lt;1,"",$AH$5+(365/AE2))</f>
        <v/>
      </c>
    </row>
    <row r="3" spans="1:33" x14ac:dyDescent="0.2">
      <c r="A3" s="1" t="s">
        <v>6</v>
      </c>
      <c r="B3" s="2" t="s">
        <v>1</v>
      </c>
      <c r="C3" s="3">
        <v>63.7</v>
      </c>
      <c r="D3" s="15" t="s">
        <v>2</v>
      </c>
      <c r="E3" s="16">
        <v>0.70699999999999996</v>
      </c>
      <c r="F3" s="6">
        <v>7440.4118181424801</v>
      </c>
      <c r="G3" s="7" t="s">
        <v>4</v>
      </c>
      <c r="H3" s="2" t="s">
        <v>7</v>
      </c>
      <c r="I3" s="8">
        <v>57.792500000000096</v>
      </c>
      <c r="J3" s="9">
        <v>0.25376831431239699</v>
      </c>
      <c r="K3" s="9">
        <v>0.138960974153438</v>
      </c>
      <c r="L3" s="9">
        <v>0.26768225175628002</v>
      </c>
      <c r="M3" s="9">
        <v>7.4292197349026895E-2</v>
      </c>
      <c r="N3" s="9">
        <v>3.3710432031133303E-2</v>
      </c>
      <c r="O3" s="9">
        <v>2.6216806717908701</v>
      </c>
      <c r="P3" s="10">
        <v>3.3900948413931502</v>
      </c>
      <c r="Q3" s="9">
        <v>0.304365507753241</v>
      </c>
      <c r="R3" s="9">
        <v>8.5069656221861897E-2</v>
      </c>
      <c r="S3" s="9">
        <v>0.22116586342432301</v>
      </c>
      <c r="T3" s="9">
        <v>8.4178679711011006E-2</v>
      </c>
      <c r="U3" s="9">
        <v>3.3710432031133303E-2</v>
      </c>
      <c r="V3" s="9">
        <v>3.0719721075797102</v>
      </c>
      <c r="W3" s="11">
        <v>3.8004622467212799</v>
      </c>
      <c r="X3" s="9">
        <v>0.25376831431239699</v>
      </c>
      <c r="Y3" s="9">
        <v>0.52208543485339698</v>
      </c>
      <c r="Z3" s="9">
        <v>3.28443777117092E-2</v>
      </c>
      <c r="AA3" s="9">
        <v>0.15376684580179101</v>
      </c>
      <c r="AB3" s="9">
        <v>3.3710432031133303E-2</v>
      </c>
      <c r="AC3" s="12">
        <v>0.99617540471042698</v>
      </c>
      <c r="AD3" s="13">
        <v>-2.8042868420108529</v>
      </c>
      <c r="AE3" s="9">
        <v>2.401368120818157</v>
      </c>
      <c r="AF3" s="9">
        <v>3.8150532815312945</v>
      </c>
      <c r="AG3" s="17">
        <f t="shared" si="0"/>
        <v>151.99668756976871</v>
      </c>
    </row>
    <row r="4" spans="1:33" x14ac:dyDescent="0.2">
      <c r="A4" s="1" t="s">
        <v>8</v>
      </c>
      <c r="B4" s="2" t="s">
        <v>1</v>
      </c>
      <c r="C4" s="3">
        <v>38.9</v>
      </c>
      <c r="D4" s="4">
        <v>57.603999999999999</v>
      </c>
      <c r="E4" s="16">
        <v>0.42899999999999999</v>
      </c>
      <c r="F4" s="18" t="s">
        <v>3</v>
      </c>
      <c r="G4" s="7" t="s">
        <v>4</v>
      </c>
      <c r="H4" s="2" t="s">
        <v>9</v>
      </c>
      <c r="I4" s="8">
        <v>10.975900390625</v>
      </c>
      <c r="J4" s="9">
        <v>0.25291000070684899</v>
      </c>
      <c r="K4" s="9">
        <v>1.0640019720713001</v>
      </c>
      <c r="L4" s="9">
        <v>0.162049935311633</v>
      </c>
      <c r="M4" s="9">
        <v>4.4392058249524196E-3</v>
      </c>
      <c r="N4" s="9">
        <v>4.3806943987229202E-2</v>
      </c>
      <c r="O4" s="9">
        <v>4.8110027144358802E-2</v>
      </c>
      <c r="P4" s="10">
        <v>1.57531808504632</v>
      </c>
      <c r="Q4" s="9">
        <v>0.28989800548542299</v>
      </c>
      <c r="R4" s="9">
        <v>1.0648362996812499</v>
      </c>
      <c r="S4" s="9">
        <v>0.160479058578156</v>
      </c>
      <c r="T4" s="9">
        <v>4.5876741566160898E-3</v>
      </c>
      <c r="U4" s="9">
        <v>4.3806943987229202E-2</v>
      </c>
      <c r="V4" s="9">
        <v>4.8110027144358802E-2</v>
      </c>
      <c r="W4" s="11">
        <v>1.6117180090330301</v>
      </c>
      <c r="X4" s="9">
        <v>0.25291000070684899</v>
      </c>
      <c r="Y4" s="9">
        <v>1.0640019720713001</v>
      </c>
      <c r="Z4" s="9">
        <v>0.361423440923404</v>
      </c>
      <c r="AA4" s="9">
        <v>6.5700986204753802E-3</v>
      </c>
      <c r="AB4" s="9">
        <v>4.3806943987229202E-2</v>
      </c>
      <c r="AC4" s="12">
        <v>1.72871245630925</v>
      </c>
      <c r="AD4" s="19">
        <v>0.11699444727621988</v>
      </c>
      <c r="AE4" s="9">
        <v>1.0183835532057774</v>
      </c>
      <c r="AF4" s="9">
        <v>0.93232278343964758</v>
      </c>
      <c r="AG4" s="17">
        <f t="shared" si="0"/>
        <v>358.41112992350838</v>
      </c>
    </row>
    <row r="5" spans="1:33" x14ac:dyDescent="0.2">
      <c r="A5" s="1" t="s">
        <v>10</v>
      </c>
      <c r="B5" s="2" t="s">
        <v>1</v>
      </c>
      <c r="C5" s="3">
        <v>79.5</v>
      </c>
      <c r="D5" s="4">
        <v>83.431700000000006</v>
      </c>
      <c r="E5" s="16">
        <v>0.90500000000000003</v>
      </c>
      <c r="F5" s="6">
        <v>32981.460811676559</v>
      </c>
      <c r="G5" s="7" t="s">
        <v>11</v>
      </c>
      <c r="H5" s="2" t="s">
        <v>12</v>
      </c>
      <c r="I5" s="8">
        <v>46.692898437499998</v>
      </c>
      <c r="J5" s="9">
        <v>0.97762581056587805</v>
      </c>
      <c r="K5" s="9">
        <v>0.13216441136215901</v>
      </c>
      <c r="L5" s="9">
        <v>0.25804752093053801</v>
      </c>
      <c r="M5" s="9">
        <v>0.37129144267550401</v>
      </c>
      <c r="N5" s="9">
        <v>6.4708135241686601E-2</v>
      </c>
      <c r="O5" s="9">
        <v>1.92181930912021</v>
      </c>
      <c r="P5" s="10">
        <v>3.7256566298959699</v>
      </c>
      <c r="Q5" s="9">
        <v>1.1322186054208401</v>
      </c>
      <c r="R5" s="9">
        <v>0.16136759500523301</v>
      </c>
      <c r="S5" s="9">
        <v>0.29831300506587399</v>
      </c>
      <c r="T5" s="9">
        <v>0.34883748112000301</v>
      </c>
      <c r="U5" s="9">
        <v>6.4708135241686601E-2</v>
      </c>
      <c r="V5" s="9">
        <v>2.3860463842791702</v>
      </c>
      <c r="W5" s="11">
        <v>4.3914912061328097</v>
      </c>
      <c r="X5" s="9">
        <v>0.97762581056587805</v>
      </c>
      <c r="Y5" s="9">
        <v>0.13216441136215901</v>
      </c>
      <c r="Z5" s="9">
        <v>0.30217549223011198</v>
      </c>
      <c r="AA5" s="9">
        <v>5.8581086508043202E-2</v>
      </c>
      <c r="AB5" s="9">
        <v>6.4708135241686601E-2</v>
      </c>
      <c r="AC5" s="12">
        <v>1.53525493590788</v>
      </c>
      <c r="AD5" s="13">
        <v>-2.8562362702249295</v>
      </c>
      <c r="AE5" s="9">
        <v>2.7748169303243193</v>
      </c>
      <c r="AF5" s="9">
        <v>2.8604312569989436</v>
      </c>
      <c r="AG5" s="17">
        <f t="shared" si="0"/>
        <v>131.54020937782695</v>
      </c>
    </row>
    <row r="6" spans="1:33" x14ac:dyDescent="0.2">
      <c r="A6" s="1" t="s">
        <v>13</v>
      </c>
      <c r="B6" s="2" t="s">
        <v>1</v>
      </c>
      <c r="C6" s="3">
        <v>68.099999999999994</v>
      </c>
      <c r="D6" s="4">
        <v>76.811999999999998</v>
      </c>
      <c r="E6" s="16">
        <v>0.77900000000000003</v>
      </c>
      <c r="F6" s="6">
        <v>4028.206815880475</v>
      </c>
      <c r="G6" s="7" t="s">
        <v>14</v>
      </c>
      <c r="H6" s="2" t="s">
        <v>9</v>
      </c>
      <c r="I6" s="8">
        <v>21.228800781250001</v>
      </c>
      <c r="J6" s="9">
        <v>0.27014402880947702</v>
      </c>
      <c r="K6" s="9">
        <v>1.9549321844793302E-3</v>
      </c>
      <c r="L6" s="9">
        <v>0.10442356283969501</v>
      </c>
      <c r="M6" s="9">
        <v>0.229320181319528</v>
      </c>
      <c r="N6" s="9">
        <v>5.24122234701586E-2</v>
      </c>
      <c r="O6" s="9">
        <v>0.34630822654922699</v>
      </c>
      <c r="P6" s="10">
        <v>1.00456315517257</v>
      </c>
      <c r="Q6" s="9">
        <v>0.36538912005111901</v>
      </c>
      <c r="R6" s="9">
        <v>1.42599387346963E-2</v>
      </c>
      <c r="S6" s="9">
        <v>0.164920674616751</v>
      </c>
      <c r="T6" s="9">
        <v>0.24820277895017101</v>
      </c>
      <c r="U6" s="9">
        <v>5.24122234701586E-2</v>
      </c>
      <c r="V6" s="9">
        <v>0.66800121914743804</v>
      </c>
      <c r="W6" s="11">
        <v>1.5131859549703299</v>
      </c>
      <c r="X6" s="9">
        <v>0.27014402880947702</v>
      </c>
      <c r="Y6" s="9">
        <v>1.9496378145386101E-2</v>
      </c>
      <c r="Z6" s="9">
        <v>4.3866541417813799E-2</v>
      </c>
      <c r="AA6" s="9">
        <v>6.8249519982806497E-2</v>
      </c>
      <c r="AB6" s="9">
        <v>5.24122234701586E-2</v>
      </c>
      <c r="AC6" s="12">
        <v>0.45416869182564201</v>
      </c>
      <c r="AD6" s="13">
        <v>-1.0590172631446879</v>
      </c>
      <c r="AE6" s="9">
        <v>0.95612488093268011</v>
      </c>
      <c r="AF6" s="9">
        <v>3.3317707323411248</v>
      </c>
      <c r="AG6" s="14" t="str">
        <f t="shared" si="0"/>
        <v/>
      </c>
    </row>
    <row r="7" spans="1:33" x14ac:dyDescent="0.2">
      <c r="A7" s="1" t="s">
        <v>15</v>
      </c>
      <c r="B7" s="2" t="s">
        <v>16</v>
      </c>
      <c r="C7" s="20" t="s">
        <v>2</v>
      </c>
      <c r="D7" s="4">
        <v>73.894999999999996</v>
      </c>
      <c r="E7" s="16">
        <v>0.70799999999999996</v>
      </c>
      <c r="F7" s="6">
        <v>2805.3169157165771</v>
      </c>
      <c r="G7" s="7" t="s">
        <v>17</v>
      </c>
      <c r="H7" s="2" t="s">
        <v>9</v>
      </c>
      <c r="I7" s="8">
        <v>4.8629799804687304</v>
      </c>
      <c r="J7" s="20"/>
      <c r="K7" s="20"/>
      <c r="L7" s="20"/>
      <c r="M7" s="20"/>
      <c r="N7" s="20"/>
      <c r="O7" s="20"/>
      <c r="P7" s="10">
        <v>0.30010306031503903</v>
      </c>
      <c r="Q7" s="20"/>
      <c r="R7" s="20"/>
      <c r="S7" s="20"/>
      <c r="T7" s="20"/>
      <c r="U7" s="20"/>
      <c r="V7" s="20"/>
      <c r="W7" s="11">
        <v>1.1415959032497101</v>
      </c>
      <c r="X7" s="20"/>
      <c r="Y7" s="20"/>
      <c r="Z7" s="20"/>
      <c r="AA7" s="20"/>
      <c r="AB7" s="20"/>
      <c r="AC7" s="12">
        <v>9.5924858058624995E-2</v>
      </c>
      <c r="AD7" s="13">
        <v>-1.0456710451910851</v>
      </c>
      <c r="AE7" s="9">
        <v>0.72133120419378094</v>
      </c>
      <c r="AF7" s="9">
        <v>11.900939197137175</v>
      </c>
      <c r="AG7" s="14" t="str">
        <f t="shared" si="0"/>
        <v/>
      </c>
    </row>
    <row r="8" spans="1:33" x14ac:dyDescent="0.2">
      <c r="A8" s="1" t="s">
        <v>18</v>
      </c>
      <c r="B8" s="2" t="s">
        <v>1</v>
      </c>
      <c r="C8" s="3">
        <v>49.5</v>
      </c>
      <c r="D8" s="4">
        <v>65.094999999999999</v>
      </c>
      <c r="E8" s="16">
        <v>0.50600000000000001</v>
      </c>
      <c r="F8" s="6">
        <v>1589.5984593854364</v>
      </c>
      <c r="G8" s="7" t="s">
        <v>4</v>
      </c>
      <c r="H8" s="2" t="s">
        <v>9</v>
      </c>
      <c r="I8" s="8">
        <v>41.801499999999798</v>
      </c>
      <c r="J8" s="9">
        <v>0.52265261293584198</v>
      </c>
      <c r="K8" s="9">
        <v>0.52242549685623396</v>
      </c>
      <c r="L8" s="9">
        <v>0.15928985847469701</v>
      </c>
      <c r="M8" s="9">
        <v>8.0686300115692504E-4</v>
      </c>
      <c r="N8" s="9">
        <v>4.7600457163165202E-2</v>
      </c>
      <c r="O8" s="9">
        <v>0.16399715086679401</v>
      </c>
      <c r="P8" s="10">
        <v>1.41677243929789</v>
      </c>
      <c r="Q8" s="9">
        <v>0.53862192574185797</v>
      </c>
      <c r="R8" s="9">
        <v>0.51144482263405899</v>
      </c>
      <c r="S8" s="9">
        <v>0.16781968678593001</v>
      </c>
      <c r="T8" s="9">
        <v>1.1475360463582399E-3</v>
      </c>
      <c r="U8" s="9">
        <v>4.7600457163165202E-2</v>
      </c>
      <c r="V8" s="9">
        <v>0.20860309099119501</v>
      </c>
      <c r="W8" s="11">
        <v>1.47523751936257</v>
      </c>
      <c r="X8" s="9">
        <v>0.52265261293584198</v>
      </c>
      <c r="Y8" s="9">
        <v>0.52242549685623396</v>
      </c>
      <c r="Z8" s="9">
        <v>0.248007643125852</v>
      </c>
      <c r="AA8" s="9">
        <v>2.1024519709351399E-2</v>
      </c>
      <c r="AB8" s="9">
        <v>4.7600457163165202E-2</v>
      </c>
      <c r="AC8" s="12">
        <v>1.3617107297904401</v>
      </c>
      <c r="AD8" s="13">
        <v>-0.11352678957212992</v>
      </c>
      <c r="AE8" s="9">
        <v>0.93214670207246031</v>
      </c>
      <c r="AF8" s="9">
        <v>1.0833707094234333</v>
      </c>
      <c r="AG8" s="14" t="str">
        <f t="shared" si="0"/>
        <v/>
      </c>
    </row>
    <row r="9" spans="1:33" x14ac:dyDescent="0.2">
      <c r="A9" s="1" t="s">
        <v>19</v>
      </c>
      <c r="B9" s="2" t="s">
        <v>1</v>
      </c>
      <c r="C9" s="3">
        <v>67</v>
      </c>
      <c r="D9" s="4">
        <v>71.569999999999993</v>
      </c>
      <c r="E9" s="16">
        <v>0.73399999999999999</v>
      </c>
      <c r="F9" s="6">
        <v>8100.3317403163283</v>
      </c>
      <c r="G9" s="7" t="s">
        <v>20</v>
      </c>
      <c r="H9" s="2" t="s">
        <v>7</v>
      </c>
      <c r="I9" s="8">
        <v>0.57598999023437503</v>
      </c>
      <c r="J9" s="9">
        <v>0.34770037289087902</v>
      </c>
      <c r="K9" s="9">
        <v>2.4807812694015802E-2</v>
      </c>
      <c r="L9" s="9">
        <v>1.36240505716044</v>
      </c>
      <c r="M9" s="9">
        <v>0.35674994774160801</v>
      </c>
      <c r="N9" s="9">
        <v>9.3805470668720706E-2</v>
      </c>
      <c r="O9" s="9">
        <v>1.3554622589805501</v>
      </c>
      <c r="P9" s="10">
        <v>3.54093092013622</v>
      </c>
      <c r="Q9" s="9">
        <v>0.32257757411327198</v>
      </c>
      <c r="R9" s="9">
        <v>1.9439344046237499E-3</v>
      </c>
      <c r="S9" s="9">
        <v>0.74138895292516604</v>
      </c>
      <c r="T9" s="9">
        <v>0.248663172021166</v>
      </c>
      <c r="U9" s="9">
        <v>9.3805470668720706E-2</v>
      </c>
      <c r="V9" s="9">
        <v>1.6561879477842401</v>
      </c>
      <c r="W9" s="11">
        <v>3.0645670519171899</v>
      </c>
      <c r="X9" s="9">
        <v>0.34770037289087902</v>
      </c>
      <c r="Y9" s="9">
        <v>2.4807812694015802E-2</v>
      </c>
      <c r="Z9" s="9">
        <v>73.039185278813804</v>
      </c>
      <c r="AA9" s="9">
        <v>6.8680256699690796</v>
      </c>
      <c r="AB9" s="9">
        <v>9.3805470668720706E-2</v>
      </c>
      <c r="AC9" s="12">
        <v>80.373524605036494</v>
      </c>
      <c r="AD9" s="19">
        <v>77.308957553119299</v>
      </c>
      <c r="AE9" s="9">
        <v>1.93638382513403</v>
      </c>
      <c r="AF9" s="9">
        <v>3.8129061366622627E-2</v>
      </c>
      <c r="AG9" s="17">
        <f t="shared" si="0"/>
        <v>188.49568730245716</v>
      </c>
    </row>
    <row r="10" spans="1:33" x14ac:dyDescent="0.2">
      <c r="A10" s="1" t="s">
        <v>21</v>
      </c>
      <c r="B10" s="2" t="s">
        <v>1</v>
      </c>
      <c r="C10" s="3">
        <v>85.6</v>
      </c>
      <c r="D10" s="4">
        <v>82.558499999999995</v>
      </c>
      <c r="E10" s="16">
        <v>0.94299999999999995</v>
      </c>
      <c r="F10" s="6">
        <v>59067.517556382314</v>
      </c>
      <c r="G10" s="7" t="s">
        <v>11</v>
      </c>
      <c r="H10" s="2" t="s">
        <v>12</v>
      </c>
      <c r="I10" s="8">
        <v>9.9716396484375007</v>
      </c>
      <c r="J10" s="9">
        <v>0.388176273718079</v>
      </c>
      <c r="K10" s="9">
        <v>0.17319291581157001</v>
      </c>
      <c r="L10" s="9">
        <v>5.0104039378123897</v>
      </c>
      <c r="M10" s="9">
        <v>6.60129623957358E-2</v>
      </c>
      <c r="N10" s="9">
        <v>7.2081216156128794E-2</v>
      </c>
      <c r="O10" s="9">
        <v>1.32088427355604</v>
      </c>
      <c r="P10" s="10">
        <v>7.0307515794499498</v>
      </c>
      <c r="Q10" s="9">
        <v>0.66320521984815195</v>
      </c>
      <c r="R10" s="9">
        <v>0.38362947605611603</v>
      </c>
      <c r="S10" s="9">
        <v>1.7213585920090599</v>
      </c>
      <c r="T10" s="9">
        <v>0.117643733958309</v>
      </c>
      <c r="U10" s="9">
        <v>7.2081216156128794E-2</v>
      </c>
      <c r="V10" s="9">
        <v>3.3183374344234302</v>
      </c>
      <c r="W10" s="11">
        <v>6.2762556724511898</v>
      </c>
      <c r="X10" s="9">
        <v>0.388176273718079</v>
      </c>
      <c r="Y10" s="9">
        <v>0.23675831629615199</v>
      </c>
      <c r="Z10" s="9">
        <v>6.1715985315098996</v>
      </c>
      <c r="AA10" s="9">
        <v>2.0904646609379101</v>
      </c>
      <c r="AB10" s="9">
        <v>7.2081216156128794E-2</v>
      </c>
      <c r="AC10" s="12">
        <v>8.9590789986181605</v>
      </c>
      <c r="AD10" s="19">
        <v>2.6828233261669707</v>
      </c>
      <c r="AE10" s="9">
        <v>3.9657281960716553</v>
      </c>
      <c r="AF10" s="9">
        <v>0.7005469728996957</v>
      </c>
      <c r="AG10" s="17">
        <f t="shared" si="0"/>
        <v>92.038582059546911</v>
      </c>
    </row>
    <row r="11" spans="1:33" x14ac:dyDescent="0.2">
      <c r="A11" s="1" t="s">
        <v>22</v>
      </c>
      <c r="B11" s="2" t="s">
        <v>1</v>
      </c>
      <c r="C11" s="3">
        <v>80.099999999999994</v>
      </c>
      <c r="D11" s="4">
        <v>83.753699999999995</v>
      </c>
      <c r="E11" s="16">
        <v>0.95499999999999996</v>
      </c>
      <c r="F11" s="6">
        <v>79173.217185124187</v>
      </c>
      <c r="G11" s="7" t="s">
        <v>23</v>
      </c>
      <c r="H11" s="2" t="s">
        <v>12</v>
      </c>
      <c r="I11" s="8">
        <v>8.5256103515624915</v>
      </c>
      <c r="J11" s="9">
        <v>0.14420148707878999</v>
      </c>
      <c r="K11" s="9">
        <v>0.104567407130239</v>
      </c>
      <c r="L11" s="9">
        <v>0.340452898713344</v>
      </c>
      <c r="M11" s="9">
        <v>2.11682929257622E-3</v>
      </c>
      <c r="N11" s="9">
        <v>5.1262746384260101E-2</v>
      </c>
      <c r="O11" s="9">
        <v>1.51421003003343</v>
      </c>
      <c r="P11" s="10">
        <v>2.15681139863264</v>
      </c>
      <c r="Q11" s="9">
        <v>0.589137183813361</v>
      </c>
      <c r="R11" s="9">
        <v>0.19085000655463399</v>
      </c>
      <c r="S11" s="9">
        <v>0.33553283060785499</v>
      </c>
      <c r="T11" s="9">
        <v>6.5688437164359306E-2</v>
      </c>
      <c r="U11" s="9">
        <v>5.1262746384260101E-2</v>
      </c>
      <c r="V11" s="9">
        <v>3.1157789343292701</v>
      </c>
      <c r="W11" s="11">
        <v>4.3482501388537402</v>
      </c>
      <c r="X11" s="9">
        <v>0.14420148707878999</v>
      </c>
      <c r="Y11" s="9">
        <v>0.104567407130239</v>
      </c>
      <c r="Z11" s="9">
        <v>0.68809809460886995</v>
      </c>
      <c r="AA11" s="9">
        <v>6.1306987911416604E-3</v>
      </c>
      <c r="AB11" s="9">
        <v>5.1262746384260101E-2</v>
      </c>
      <c r="AC11" s="12">
        <v>0.994260433993301</v>
      </c>
      <c r="AD11" s="13">
        <v>-3.3539897048604392</v>
      </c>
      <c r="AE11" s="9">
        <v>2.7474945380117282</v>
      </c>
      <c r="AF11" s="9">
        <v>4.3733512771795935</v>
      </c>
      <c r="AG11" s="17">
        <f t="shared" si="0"/>
        <v>132.84830777648736</v>
      </c>
    </row>
    <row r="12" spans="1:33" x14ac:dyDescent="0.2">
      <c r="A12" s="1" t="s">
        <v>24</v>
      </c>
      <c r="B12" s="2" t="s">
        <v>1</v>
      </c>
      <c r="C12" s="3">
        <v>58</v>
      </c>
      <c r="D12" s="4">
        <v>71.778999999999996</v>
      </c>
      <c r="E12" s="16">
        <v>0.56299999999999994</v>
      </c>
      <c r="F12" s="6" t="s">
        <v>3</v>
      </c>
      <c r="G12" s="7" t="s">
        <v>17</v>
      </c>
      <c r="H12" s="2" t="s">
        <v>9</v>
      </c>
      <c r="I12" s="8">
        <v>16.9450996093749</v>
      </c>
      <c r="J12" s="9">
        <v>0.27394346667353597</v>
      </c>
      <c r="K12" s="9">
        <v>0.12769224038122001</v>
      </c>
      <c r="L12" s="9">
        <v>2.4041591176670899E-3</v>
      </c>
      <c r="M12" s="9">
        <v>7.8991148182386099E-4</v>
      </c>
      <c r="N12" s="9">
        <v>2.3485407782155E-2</v>
      </c>
      <c r="O12" s="9">
        <v>0.54192714019398003</v>
      </c>
      <c r="P12" s="10">
        <v>0.97024232563038204</v>
      </c>
      <c r="Q12" s="9">
        <v>0.37632280415611802</v>
      </c>
      <c r="R12" s="9">
        <v>5.4940821585115797E-2</v>
      </c>
      <c r="S12" s="9">
        <v>3.6044189453646E-2</v>
      </c>
      <c r="T12" s="9">
        <v>7.82357644448896E-3</v>
      </c>
      <c r="U12" s="9">
        <v>2.3485407782155E-2</v>
      </c>
      <c r="V12" s="9">
        <v>0.83838713709927304</v>
      </c>
      <c r="W12" s="11">
        <v>1.3370039365208</v>
      </c>
      <c r="X12" s="9">
        <v>0.27394346667353597</v>
      </c>
      <c r="Y12" s="9">
        <v>0.12769224038122001</v>
      </c>
      <c r="Z12" s="9">
        <v>5.6807498644340503E-2</v>
      </c>
      <c r="AA12" s="9">
        <v>4.8481743272799803E-3</v>
      </c>
      <c r="AB12" s="9">
        <v>2.3485407782155E-2</v>
      </c>
      <c r="AC12" s="12">
        <v>0.48677678780853201</v>
      </c>
      <c r="AD12" s="13">
        <v>-0.8502271487122679</v>
      </c>
      <c r="AE12" s="9">
        <v>0.84480213777660906</v>
      </c>
      <c r="AF12" s="9">
        <v>2.7466468615728137</v>
      </c>
      <c r="AG12" s="14" t="str">
        <f t="shared" si="0"/>
        <v/>
      </c>
    </row>
    <row r="13" spans="1:33" x14ac:dyDescent="0.2">
      <c r="A13" s="1" t="s">
        <v>25</v>
      </c>
      <c r="B13" s="2" t="s">
        <v>26</v>
      </c>
      <c r="C13" s="3">
        <v>69.8</v>
      </c>
      <c r="D13" s="4">
        <v>70.879000000000005</v>
      </c>
      <c r="E13" s="16">
        <v>0.66100000000000003</v>
      </c>
      <c r="F13" s="6">
        <v>1073.0230007779585</v>
      </c>
      <c r="G13" s="7" t="s">
        <v>17</v>
      </c>
      <c r="H13" s="2" t="s">
        <v>5</v>
      </c>
      <c r="I13" s="8">
        <v>9.1008300781250089</v>
      </c>
      <c r="J13" s="9">
        <v>0.24968945767503201</v>
      </c>
      <c r="K13" s="9">
        <v>0.121868384900884</v>
      </c>
      <c r="L13" s="9">
        <v>0.15225563288719399</v>
      </c>
      <c r="M13" s="9">
        <v>2.2946989670934699E-4</v>
      </c>
      <c r="N13" s="9">
        <v>8.7882956523326394E-2</v>
      </c>
      <c r="O13" s="9">
        <v>0.29167976162473103</v>
      </c>
      <c r="P13" s="10">
        <v>0.90360566350787697</v>
      </c>
      <c r="Q13" s="9">
        <v>0.40057913608304302</v>
      </c>
      <c r="R13" s="9">
        <v>0.12539603282822101</v>
      </c>
      <c r="S13" s="9">
        <v>0.214265079485744</v>
      </c>
      <c r="T13" s="9">
        <v>2.0739001053330401E-3</v>
      </c>
      <c r="U13" s="9">
        <v>8.7882956523326394E-2</v>
      </c>
      <c r="V13" s="9">
        <v>0.297452623394932</v>
      </c>
      <c r="W13" s="11">
        <v>1.1276497284206</v>
      </c>
      <c r="X13" s="9">
        <v>0.24968945767503201</v>
      </c>
      <c r="Y13" s="9">
        <v>0.121868384900884</v>
      </c>
      <c r="Z13" s="9">
        <v>5.7893675218405804E-3</v>
      </c>
      <c r="AA13" s="9">
        <v>1.03730164431534E-2</v>
      </c>
      <c r="AB13" s="9">
        <v>8.7882956523326394E-2</v>
      </c>
      <c r="AC13" s="12">
        <v>0.47560318306423599</v>
      </c>
      <c r="AD13" s="13">
        <v>-0.65204654535636397</v>
      </c>
      <c r="AE13" s="9">
        <v>0.71251914464211086</v>
      </c>
      <c r="AF13" s="9">
        <v>2.3709886068367569</v>
      </c>
      <c r="AG13" s="14" t="str">
        <f t="shared" si="0"/>
        <v/>
      </c>
    </row>
    <row r="14" spans="1:33" x14ac:dyDescent="0.2">
      <c r="A14" s="1" t="s">
        <v>27</v>
      </c>
      <c r="B14" s="2" t="s">
        <v>1</v>
      </c>
      <c r="C14" s="3">
        <v>56.4</v>
      </c>
      <c r="D14" s="4">
        <v>65.015000000000001</v>
      </c>
      <c r="E14" s="16">
        <v>0.52400000000000002</v>
      </c>
      <c r="F14" s="6">
        <v>931.3041204253866</v>
      </c>
      <c r="G14" s="7" t="s">
        <v>4</v>
      </c>
      <c r="H14" s="2" t="s">
        <v>5</v>
      </c>
      <c r="I14" s="8">
        <v>56.3133984374997</v>
      </c>
      <c r="J14" s="9">
        <v>0.444377567606418</v>
      </c>
      <c r="K14" s="9">
        <v>0.28545929940853898</v>
      </c>
      <c r="L14" s="9">
        <v>0.20117835522359401</v>
      </c>
      <c r="M14" s="9">
        <v>8.6541804185720203E-2</v>
      </c>
      <c r="N14" s="9">
        <v>6.4964022071257302E-2</v>
      </c>
      <c r="O14" s="9">
        <v>6.8231107420781395E-2</v>
      </c>
      <c r="P14" s="10">
        <v>1.1507521559163101</v>
      </c>
      <c r="Q14" s="9">
        <v>0.41335182743076099</v>
      </c>
      <c r="R14" s="9">
        <v>0.28352009244918303</v>
      </c>
      <c r="S14" s="9">
        <v>0.20533760433537501</v>
      </c>
      <c r="T14" s="9">
        <v>7.6868879363445095E-2</v>
      </c>
      <c r="U14" s="9">
        <v>6.4964022071257302E-2</v>
      </c>
      <c r="V14" s="9">
        <v>0.12891036919148399</v>
      </c>
      <c r="W14" s="11">
        <v>1.1729527948415099</v>
      </c>
      <c r="X14" s="9">
        <v>0.444377567606418</v>
      </c>
      <c r="Y14" s="9">
        <v>0.28545929940853898</v>
      </c>
      <c r="Z14" s="9">
        <v>0.13747768743407501</v>
      </c>
      <c r="AA14" s="9">
        <v>5.1702182968929603E-2</v>
      </c>
      <c r="AB14" s="9">
        <v>6.4964022071257302E-2</v>
      </c>
      <c r="AC14" s="12">
        <v>0.98398075948921904</v>
      </c>
      <c r="AD14" s="13">
        <v>-0.1889720353522909</v>
      </c>
      <c r="AE14" s="9">
        <v>0.74114443609773184</v>
      </c>
      <c r="AF14" s="9">
        <v>1.1920485065687521</v>
      </c>
      <c r="AG14" s="14" t="str">
        <f t="shared" si="0"/>
        <v/>
      </c>
    </row>
    <row r="15" spans="1:33" x14ac:dyDescent="0.2">
      <c r="A15" s="1" t="s">
        <v>28</v>
      </c>
      <c r="B15" s="2" t="s">
        <v>1</v>
      </c>
      <c r="C15" s="3">
        <v>74.2</v>
      </c>
      <c r="D15" s="4">
        <v>76.930999999999997</v>
      </c>
      <c r="E15" s="16">
        <v>0.77200000000000002</v>
      </c>
      <c r="F15" s="6">
        <v>6366.2616936848699</v>
      </c>
      <c r="G15" s="7" t="s">
        <v>14</v>
      </c>
      <c r="H15" s="2" t="s">
        <v>7</v>
      </c>
      <c r="I15" s="8">
        <v>69.4285</v>
      </c>
      <c r="J15" s="9">
        <v>0.77792658071588705</v>
      </c>
      <c r="K15" s="9">
        <v>9.3735699005175897E-4</v>
      </c>
      <c r="L15" s="9">
        <v>0.24651256502572899</v>
      </c>
      <c r="M15" s="9">
        <v>0.118769918559108</v>
      </c>
      <c r="N15" s="9">
        <v>6.8644081394075795E-2</v>
      </c>
      <c r="O15" s="9">
        <v>1.2967433660225001</v>
      </c>
      <c r="P15" s="10">
        <v>2.5095338687073498</v>
      </c>
      <c r="Q15" s="9">
        <v>0.44260951594398901</v>
      </c>
      <c r="R15" s="9">
        <v>2.2266532442151901E-2</v>
      </c>
      <c r="S15" s="9">
        <v>0.17270135224234201</v>
      </c>
      <c r="T15" s="9">
        <v>0.19561428086968499</v>
      </c>
      <c r="U15" s="9">
        <v>6.8644081394075795E-2</v>
      </c>
      <c r="V15" s="9">
        <v>1.45053098015966</v>
      </c>
      <c r="W15" s="11">
        <v>2.3523667430519</v>
      </c>
      <c r="X15" s="9">
        <v>0.77792658071588705</v>
      </c>
      <c r="Y15" s="9">
        <v>1.0256740705349199E-2</v>
      </c>
      <c r="Z15" s="9">
        <v>0.22636416456263</v>
      </c>
      <c r="AA15" s="9">
        <v>0.18757618808927601</v>
      </c>
      <c r="AB15" s="9">
        <v>6.8644081394075795E-2</v>
      </c>
      <c r="AC15" s="12">
        <v>1.2707677554672201</v>
      </c>
      <c r="AD15" s="13">
        <v>-1.0815989875846799</v>
      </c>
      <c r="AE15" s="9">
        <v>1.4863714302414306</v>
      </c>
      <c r="AF15" s="9">
        <v>1.8511382059635366</v>
      </c>
      <c r="AG15" s="17">
        <f t="shared" si="0"/>
        <v>245.56446159673106</v>
      </c>
    </row>
    <row r="16" spans="1:33" x14ac:dyDescent="0.2">
      <c r="A16" s="1" t="s">
        <v>29</v>
      </c>
      <c r="B16" s="2" t="s">
        <v>26</v>
      </c>
      <c r="C16" s="20"/>
      <c r="D16" s="4">
        <v>69.260000000000005</v>
      </c>
      <c r="E16" s="16">
        <v>0.59899999999999998</v>
      </c>
      <c r="F16" s="6">
        <v>839.88582112040035</v>
      </c>
      <c r="G16" s="7" t="s">
        <v>14</v>
      </c>
      <c r="H16" s="2" t="s">
        <v>9</v>
      </c>
      <c r="I16" s="8">
        <v>1.26796997070312</v>
      </c>
      <c r="J16" s="9">
        <v>0.170365710576939</v>
      </c>
      <c r="K16" s="9">
        <v>5.3603918327611598E-2</v>
      </c>
      <c r="L16" s="9">
        <v>2.5279528740583899E-2</v>
      </c>
      <c r="M16" s="9">
        <v>2.0753886824761902E-3</v>
      </c>
      <c r="N16" s="9">
        <v>3.8232732481211701E-2</v>
      </c>
      <c r="O16" s="9">
        <v>0.103422559436241</v>
      </c>
      <c r="P16" s="10">
        <v>0.392979838245063</v>
      </c>
      <c r="Q16" s="9">
        <v>0.33603669045124002</v>
      </c>
      <c r="R16" s="9">
        <v>5.8530786416343003E-2</v>
      </c>
      <c r="S16" s="9">
        <v>3.1593229932869699E-2</v>
      </c>
      <c r="T16" s="9">
        <v>2.4540131885468101E-2</v>
      </c>
      <c r="U16" s="9">
        <v>3.8232732481211701E-2</v>
      </c>
      <c r="V16" s="9">
        <v>0.103422559436241</v>
      </c>
      <c r="W16" s="11">
        <v>0.592356130603373</v>
      </c>
      <c r="X16" s="9">
        <v>0.170365710576939</v>
      </c>
      <c r="Y16" s="9">
        <v>5.3603918327611598E-2</v>
      </c>
      <c r="Z16" s="9">
        <v>0.57401799903305695</v>
      </c>
      <c r="AA16" s="9">
        <v>0.82990060508733698</v>
      </c>
      <c r="AB16" s="9">
        <v>3.8232732481211701E-2</v>
      </c>
      <c r="AC16" s="12">
        <v>1.66612096550616</v>
      </c>
      <c r="AD16" s="19">
        <v>1.0737648349027871</v>
      </c>
      <c r="AE16" s="9">
        <v>0.37428739870507072</v>
      </c>
      <c r="AF16" s="9">
        <v>0.35553008627042748</v>
      </c>
      <c r="AG16" s="14" t="str">
        <f t="shared" si="0"/>
        <v/>
      </c>
    </row>
    <row r="17" spans="1:33" x14ac:dyDescent="0.2">
      <c r="A17" s="1" t="s">
        <v>30</v>
      </c>
      <c r="B17" s="2" t="s">
        <v>1</v>
      </c>
      <c r="C17" s="3">
        <v>53.2</v>
      </c>
      <c r="D17" s="4">
        <v>60.76</v>
      </c>
      <c r="E17" s="16">
        <v>0.51</v>
      </c>
      <c r="F17" s="6">
        <v>676.98810709212148</v>
      </c>
      <c r="G17" s="7" t="s">
        <v>4</v>
      </c>
      <c r="H17" s="2" t="s">
        <v>5</v>
      </c>
      <c r="I17" s="8">
        <v>7.8890898437500105</v>
      </c>
      <c r="J17" s="9">
        <v>0.33498223015404999</v>
      </c>
      <c r="K17" s="9">
        <v>9.7519762999091805E-2</v>
      </c>
      <c r="L17" s="9">
        <v>0.227690400129436</v>
      </c>
      <c r="M17" s="9">
        <v>1.31112090817868E-2</v>
      </c>
      <c r="N17" s="9">
        <v>2.6832789421490699E-2</v>
      </c>
      <c r="O17" s="9">
        <v>8.6569168013177503E-2</v>
      </c>
      <c r="P17" s="10">
        <v>0.78670555979903301</v>
      </c>
      <c r="Q17" s="9">
        <v>0.370508986948896</v>
      </c>
      <c r="R17" s="9">
        <v>9.2992748610859793E-2</v>
      </c>
      <c r="S17" s="9">
        <v>0.232955795891443</v>
      </c>
      <c r="T17" s="9">
        <v>7.2376700108657405E-2</v>
      </c>
      <c r="U17" s="9">
        <v>2.6832789421490699E-2</v>
      </c>
      <c r="V17" s="9">
        <v>0.248064258983236</v>
      </c>
      <c r="W17" s="11">
        <v>1.0437312799645799</v>
      </c>
      <c r="X17" s="9">
        <v>0.33498223015404999</v>
      </c>
      <c r="Y17" s="9">
        <v>0.10030495536329399</v>
      </c>
      <c r="Z17" s="9">
        <v>0.11368137318417799</v>
      </c>
      <c r="AA17" s="9">
        <v>1.8094262354392002E-2</v>
      </c>
      <c r="AB17" s="9">
        <v>2.6832789421490699E-2</v>
      </c>
      <c r="AC17" s="12">
        <v>0.59389561047740602</v>
      </c>
      <c r="AD17" s="13">
        <v>-0.44983566948717391</v>
      </c>
      <c r="AE17" s="9">
        <v>0.65949425614475454</v>
      </c>
      <c r="AF17" s="9">
        <v>1.7574322179710524</v>
      </c>
      <c r="AG17" s="14" t="str">
        <f t="shared" si="0"/>
        <v/>
      </c>
    </row>
    <row r="18" spans="1:33" x14ac:dyDescent="0.2">
      <c r="A18" s="1" t="s">
        <v>31</v>
      </c>
      <c r="B18" s="2" t="s">
        <v>16</v>
      </c>
      <c r="C18" s="20"/>
      <c r="D18" s="4">
        <v>70.801000000000002</v>
      </c>
      <c r="E18" s="16">
        <v>0.72299999999999998</v>
      </c>
      <c r="F18" s="6">
        <v>4377.6757671775404</v>
      </c>
      <c r="G18" s="7" t="s">
        <v>14</v>
      </c>
      <c r="H18" s="2" t="s">
        <v>9</v>
      </c>
      <c r="I18" s="8">
        <v>0.103196998596191</v>
      </c>
      <c r="J18" s="20"/>
      <c r="K18" s="20"/>
      <c r="L18" s="20"/>
      <c r="M18" s="20"/>
      <c r="N18" s="20"/>
      <c r="O18" s="20"/>
      <c r="P18" s="10">
        <v>1.00229977503106</v>
      </c>
      <c r="Q18" s="20"/>
      <c r="R18" s="20"/>
      <c r="S18" s="20"/>
      <c r="T18" s="20"/>
      <c r="U18" s="20"/>
      <c r="V18" s="20"/>
      <c r="W18" s="11">
        <v>2.9205765244697299</v>
      </c>
      <c r="X18" s="20"/>
      <c r="Y18" s="20"/>
      <c r="Z18" s="20"/>
      <c r="AA18" s="20"/>
      <c r="AB18" s="20"/>
      <c r="AC18" s="12">
        <v>1.0813133855980199</v>
      </c>
      <c r="AD18" s="13">
        <v>-1.83926313887171</v>
      </c>
      <c r="AE18" s="9">
        <v>1.8454016656321359</v>
      </c>
      <c r="AF18" s="9">
        <v>2.7009528998427279</v>
      </c>
      <c r="AG18" s="17">
        <f t="shared" si="0"/>
        <v>197.78891869319438</v>
      </c>
    </row>
    <row r="19" spans="1:33" x14ac:dyDescent="0.2">
      <c r="A19" s="1" t="s">
        <v>32</v>
      </c>
      <c r="B19" s="2" t="s">
        <v>26</v>
      </c>
      <c r="C19" s="3">
        <v>63.5</v>
      </c>
      <c r="D19" s="4">
        <v>73.38</v>
      </c>
      <c r="E19" s="16">
        <v>0.79500000000000004</v>
      </c>
      <c r="F19" s="6">
        <v>15161.241954618194</v>
      </c>
      <c r="G19" s="7" t="s">
        <v>33</v>
      </c>
      <c r="H19" s="2" t="s">
        <v>12</v>
      </c>
      <c r="I19" s="8">
        <v>1.38983996582031</v>
      </c>
      <c r="J19" s="9">
        <v>3.9977285635432902E-2</v>
      </c>
      <c r="K19" s="9">
        <v>5.8842311950795603E-3</v>
      </c>
      <c r="L19" s="9">
        <v>9.1549963414800206E-2</v>
      </c>
      <c r="M19" s="9">
        <v>6.0080808080329298E-2</v>
      </c>
      <c r="N19" s="9">
        <v>1.11952561179472E-3</v>
      </c>
      <c r="O19" s="9">
        <v>7.6206819458340798</v>
      </c>
      <c r="P19" s="10">
        <v>7.8192937597715204</v>
      </c>
      <c r="Q19" s="9">
        <v>0.44614712120588401</v>
      </c>
      <c r="R19" s="9">
        <v>0.176773341645518</v>
      </c>
      <c r="S19" s="9">
        <v>0.27720663205035601</v>
      </c>
      <c r="T19" s="9">
        <v>0.101332199024412</v>
      </c>
      <c r="U19" s="9">
        <v>1.11952561179472E-3</v>
      </c>
      <c r="V19" s="9">
        <v>6.4411627077382496</v>
      </c>
      <c r="W19" s="11">
        <v>7.4437415272762104</v>
      </c>
      <c r="X19" s="9">
        <v>3.9977285635432902E-2</v>
      </c>
      <c r="Y19" s="9">
        <v>5.8842311950795603E-3</v>
      </c>
      <c r="Z19" s="9">
        <v>0.13700748439213201</v>
      </c>
      <c r="AA19" s="9">
        <v>1.3146883358536501</v>
      </c>
      <c r="AB19" s="9">
        <v>1.11952561179472E-3</v>
      </c>
      <c r="AC19" s="12">
        <v>1.49867686268809</v>
      </c>
      <c r="AD19" s="13">
        <v>-5.94506466458812</v>
      </c>
      <c r="AE19" s="9">
        <v>4.7034182798770185</v>
      </c>
      <c r="AF19" s="9">
        <v>4.9668755904623776</v>
      </c>
      <c r="AG19" s="17">
        <f t="shared" si="0"/>
        <v>77.603134205946859</v>
      </c>
    </row>
    <row r="20" spans="1:33" x14ac:dyDescent="0.2">
      <c r="A20" s="1" t="s">
        <v>34</v>
      </c>
      <c r="B20" s="2" t="s">
        <v>1</v>
      </c>
      <c r="C20" s="3">
        <v>71.400000000000006</v>
      </c>
      <c r="D20" s="4">
        <v>76.504999999999995</v>
      </c>
      <c r="E20" s="16">
        <v>0.73799999999999999</v>
      </c>
      <c r="F20" s="6">
        <v>4408.3715922759593</v>
      </c>
      <c r="G20" s="7" t="s">
        <v>4</v>
      </c>
      <c r="H20" s="2" t="s">
        <v>7</v>
      </c>
      <c r="I20" s="8">
        <v>11.565200195312499</v>
      </c>
      <c r="J20" s="9">
        <v>0.33108379569074498</v>
      </c>
      <c r="K20" s="9">
        <v>7.4862340168564301E-2</v>
      </c>
      <c r="L20" s="9">
        <v>0.135966357566805</v>
      </c>
      <c r="M20" s="9">
        <v>6.3308645623008794E-2</v>
      </c>
      <c r="N20" s="9">
        <v>2.4250610716680301E-2</v>
      </c>
      <c r="O20" s="9">
        <v>0.87320563891249003</v>
      </c>
      <c r="P20" s="10">
        <v>1.50267738867829</v>
      </c>
      <c r="Q20" s="9">
        <v>0.586134481497113</v>
      </c>
      <c r="R20" s="9">
        <v>6.2174459285029099E-2</v>
      </c>
      <c r="S20" s="9">
        <v>0.240719542063736</v>
      </c>
      <c r="T20" s="9">
        <v>6.8424287468418596E-2</v>
      </c>
      <c r="U20" s="9">
        <v>2.4250610716680301E-2</v>
      </c>
      <c r="V20" s="9">
        <v>1.04267623397944</v>
      </c>
      <c r="W20" s="11">
        <v>2.0243796150104099</v>
      </c>
      <c r="X20" s="9">
        <v>0.33108379569074498</v>
      </c>
      <c r="Y20" s="9">
        <v>7.4862340168564301E-2</v>
      </c>
      <c r="Z20" s="9">
        <v>3.3532470727415199E-2</v>
      </c>
      <c r="AA20" s="9">
        <v>0.221814651708267</v>
      </c>
      <c r="AB20" s="9">
        <v>2.4250610716680301E-2</v>
      </c>
      <c r="AC20" s="12">
        <v>0.68554386901167097</v>
      </c>
      <c r="AD20" s="13">
        <v>-1.3388357459987388</v>
      </c>
      <c r="AE20" s="9">
        <v>1.2791287891661172</v>
      </c>
      <c r="AF20" s="9">
        <v>2.9529541529251806</v>
      </c>
      <c r="AG20" s="17">
        <f t="shared" si="0"/>
        <v>285.35046907821442</v>
      </c>
    </row>
    <row r="21" spans="1:33" x14ac:dyDescent="0.2">
      <c r="A21" s="1" t="s">
        <v>35</v>
      </c>
      <c r="B21" s="2" t="s">
        <v>1</v>
      </c>
      <c r="C21" s="3">
        <v>70.400000000000006</v>
      </c>
      <c r="D21" s="4">
        <v>77.436999999999998</v>
      </c>
      <c r="E21" s="16">
        <v>0.81699999999999995</v>
      </c>
      <c r="F21" s="6">
        <v>15180.938282559579</v>
      </c>
      <c r="G21" s="7" t="s">
        <v>17</v>
      </c>
      <c r="H21" s="2" t="s">
        <v>7</v>
      </c>
      <c r="I21" s="8">
        <v>82.340101562499996</v>
      </c>
      <c r="J21" s="9">
        <v>0.66230254203861905</v>
      </c>
      <c r="K21" s="9">
        <v>8.6787154793078802E-2</v>
      </c>
      <c r="L21" s="9">
        <v>0.21539553282722301</v>
      </c>
      <c r="M21" s="9">
        <v>2.6390953552174599E-2</v>
      </c>
      <c r="N21" s="9">
        <v>3.3648454589991203E-2</v>
      </c>
      <c r="O21" s="9">
        <v>1.75300216013424</v>
      </c>
      <c r="P21" s="10">
        <v>2.7775267979353302</v>
      </c>
      <c r="Q21" s="9">
        <v>0.76973649445983705</v>
      </c>
      <c r="R21" s="9">
        <v>0.167141099186983</v>
      </c>
      <c r="S21" s="9">
        <v>0.320367190642243</v>
      </c>
      <c r="T21" s="9">
        <v>3.1554188177896202E-2</v>
      </c>
      <c r="U21" s="9">
        <v>3.3648454589991203E-2</v>
      </c>
      <c r="V21" s="9">
        <v>2.02277608029631</v>
      </c>
      <c r="W21" s="11">
        <v>3.3452235073532601</v>
      </c>
      <c r="X21" s="9">
        <v>0.66230254203861905</v>
      </c>
      <c r="Y21" s="9">
        <v>8.6787154793078802E-2</v>
      </c>
      <c r="Z21" s="9">
        <v>0.48252955854292601</v>
      </c>
      <c r="AA21" s="9">
        <v>3.9377100492443098E-2</v>
      </c>
      <c r="AB21" s="9">
        <v>3.3648454589991203E-2</v>
      </c>
      <c r="AC21" s="12">
        <v>1.30464481045706</v>
      </c>
      <c r="AD21" s="13">
        <v>-2.0405786968962003</v>
      </c>
      <c r="AE21" s="9">
        <v>2.1137200072175215</v>
      </c>
      <c r="AF21" s="9">
        <v>2.5640875436290727</v>
      </c>
      <c r="AG21" s="17">
        <f t="shared" si="0"/>
        <v>172.68133847135323</v>
      </c>
    </row>
    <row r="22" spans="1:33" x14ac:dyDescent="0.2">
      <c r="A22" s="1" t="s">
        <v>36</v>
      </c>
      <c r="B22" s="2" t="s">
        <v>1</v>
      </c>
      <c r="C22" s="3">
        <v>61.1</v>
      </c>
      <c r="D22" s="4">
        <v>68.072999999999993</v>
      </c>
      <c r="E22" s="16">
        <v>0.71</v>
      </c>
      <c r="F22" s="6">
        <v>7647.9517248406719</v>
      </c>
      <c r="G22" s="7" t="s">
        <v>17</v>
      </c>
      <c r="H22" s="2" t="s">
        <v>9</v>
      </c>
      <c r="I22" s="8">
        <v>5.85089990234375</v>
      </c>
      <c r="J22" s="9">
        <v>0.36567913536798302</v>
      </c>
      <c r="K22" s="9">
        <v>0.50885636907519705</v>
      </c>
      <c r="L22" s="9">
        <v>6.4460334432745695E-4</v>
      </c>
      <c r="M22" s="9">
        <v>3.3815561021334401E-3</v>
      </c>
      <c r="N22" s="9">
        <v>6.06409343760025E-2</v>
      </c>
      <c r="O22" s="9">
        <v>4.1405856657452196</v>
      </c>
      <c r="P22" s="10">
        <v>5.07978826401086</v>
      </c>
      <c r="Q22" s="9">
        <v>0.43075665862141899</v>
      </c>
      <c r="R22" s="9">
        <v>0.39489363458108301</v>
      </c>
      <c r="S22" s="9">
        <v>2.67565251937915E-2</v>
      </c>
      <c r="T22" s="9">
        <v>4.9506988582504003E-3</v>
      </c>
      <c r="U22" s="9">
        <v>6.06409343760025E-2</v>
      </c>
      <c r="V22" s="9">
        <v>3.97890944841757</v>
      </c>
      <c r="W22" s="11">
        <v>4.8969079000481202</v>
      </c>
      <c r="X22" s="9">
        <v>0.36567913536798302</v>
      </c>
      <c r="Y22" s="9">
        <v>1.73275022596252</v>
      </c>
      <c r="Z22" s="9">
        <v>1.3023050145448601E-2</v>
      </c>
      <c r="AA22" s="9">
        <v>0.11319273850150401</v>
      </c>
      <c r="AB22" s="9">
        <v>6.06409343760025E-2</v>
      </c>
      <c r="AC22" s="12">
        <v>2.2852860843534599</v>
      </c>
      <c r="AD22" s="13">
        <v>-2.6116218156946602</v>
      </c>
      <c r="AE22" s="9">
        <v>3.094170592512282</v>
      </c>
      <c r="AF22" s="9">
        <v>2.1427986340859051</v>
      </c>
      <c r="AG22" s="17">
        <f t="shared" si="0"/>
        <v>117.96376091327329</v>
      </c>
    </row>
    <row r="23" spans="1:33" x14ac:dyDescent="0.2">
      <c r="A23" s="1" t="s">
        <v>37</v>
      </c>
      <c r="B23" s="2" t="s">
        <v>1</v>
      </c>
      <c r="C23" s="3">
        <v>53.5</v>
      </c>
      <c r="D23" s="4">
        <v>62.972999999999999</v>
      </c>
      <c r="E23" s="16">
        <v>0.53800000000000003</v>
      </c>
      <c r="F23" s="6">
        <v>933.71480727374637</v>
      </c>
      <c r="G23" s="7" t="s">
        <v>4</v>
      </c>
      <c r="H23" s="2" t="s">
        <v>5</v>
      </c>
      <c r="I23" s="8">
        <v>42.729000000000099</v>
      </c>
      <c r="J23" s="9">
        <v>0.26147291055837701</v>
      </c>
      <c r="K23" s="9">
        <v>0.12793237461639101</v>
      </c>
      <c r="L23" s="9">
        <v>0.47255923996005</v>
      </c>
      <c r="M23" s="9">
        <v>8.4023737444917299E-2</v>
      </c>
      <c r="N23" s="9">
        <v>3.3276018827916497E-2</v>
      </c>
      <c r="O23" s="9">
        <v>4.38086794696457E-2</v>
      </c>
      <c r="P23" s="10">
        <v>1.0230729608772999</v>
      </c>
      <c r="Q23" s="9">
        <v>0.23041611756227001</v>
      </c>
      <c r="R23" s="9">
        <v>0.126405170933445</v>
      </c>
      <c r="S23" s="9">
        <v>0.480022812558492</v>
      </c>
      <c r="T23" s="9">
        <v>8.0284217240336297E-2</v>
      </c>
      <c r="U23" s="9">
        <v>3.3276018827916497E-2</v>
      </c>
      <c r="V23" s="9">
        <v>0.10855228115834401</v>
      </c>
      <c r="W23" s="11">
        <v>1.0589566182807999</v>
      </c>
      <c r="X23" s="9">
        <v>0.26147291055837701</v>
      </c>
      <c r="Y23" s="9">
        <v>0.12793237461639101</v>
      </c>
      <c r="Z23" s="9">
        <v>9.3940184201830399E-3</v>
      </c>
      <c r="AA23" s="9">
        <v>3.4999762386088998E-2</v>
      </c>
      <c r="AB23" s="9">
        <v>3.3276018827916497E-2</v>
      </c>
      <c r="AC23" s="12">
        <v>0.46707508480895599</v>
      </c>
      <c r="AD23" s="13">
        <v>-0.59188153347184391</v>
      </c>
      <c r="AE23" s="9">
        <v>0.66911457064538771</v>
      </c>
      <c r="AF23" s="9">
        <v>2.2672085339639483</v>
      </c>
      <c r="AG23" s="14" t="str">
        <f t="shared" si="0"/>
        <v/>
      </c>
    </row>
    <row r="24" spans="1:33" x14ac:dyDescent="0.2">
      <c r="A24" s="1" t="s">
        <v>38</v>
      </c>
      <c r="B24" s="2" t="s">
        <v>26</v>
      </c>
      <c r="C24" s="3">
        <v>75.5</v>
      </c>
      <c r="D24" s="4">
        <v>71.582700000000003</v>
      </c>
      <c r="E24" s="16">
        <v>0.77400000000000002</v>
      </c>
      <c r="F24" s="6">
        <v>2960.7062824163968</v>
      </c>
      <c r="G24" s="7" t="s">
        <v>23</v>
      </c>
      <c r="H24" s="2" t="s">
        <v>9</v>
      </c>
      <c r="I24" s="8">
        <v>44.246199218749801</v>
      </c>
      <c r="J24" s="9">
        <v>1.9314427682306701</v>
      </c>
      <c r="K24" s="9">
        <v>5.6474399702547999E-3</v>
      </c>
      <c r="L24" s="9">
        <v>0.23215350378899599</v>
      </c>
      <c r="M24" s="9">
        <v>2.5939269521236801E-3</v>
      </c>
      <c r="N24" s="9">
        <v>8.4371418065298104E-2</v>
      </c>
      <c r="O24" s="9">
        <v>1.5392119128770601</v>
      </c>
      <c r="P24" s="10">
        <v>3.7954209698843999</v>
      </c>
      <c r="Q24" s="9">
        <v>0.63445590252819495</v>
      </c>
      <c r="R24" s="9">
        <v>1.2092626310670001E-2</v>
      </c>
      <c r="S24" s="9">
        <v>0.19081975912583901</v>
      </c>
      <c r="T24" s="9">
        <v>6.18532292643202E-2</v>
      </c>
      <c r="U24" s="9">
        <v>8.4371418065298104E-2</v>
      </c>
      <c r="V24" s="9">
        <v>1.4391799545723301</v>
      </c>
      <c r="W24" s="11">
        <v>2.4227728898666498</v>
      </c>
      <c r="X24" s="9">
        <v>1.9314427682306701</v>
      </c>
      <c r="Y24" s="9">
        <v>0.13846801784114399</v>
      </c>
      <c r="Z24" s="9">
        <v>0.42961728569144397</v>
      </c>
      <c r="AA24" s="9">
        <v>0.154235642855201</v>
      </c>
      <c r="AB24" s="9">
        <v>8.4371418065298104E-2</v>
      </c>
      <c r="AC24" s="12">
        <v>2.73813513268375</v>
      </c>
      <c r="AD24" s="19">
        <v>0.31536224281710012</v>
      </c>
      <c r="AE24" s="9">
        <v>1.530858407218098</v>
      </c>
      <c r="AF24" s="9">
        <v>0.88482590247180326</v>
      </c>
      <c r="AG24" s="17">
        <f t="shared" si="0"/>
        <v>238.42832118176378</v>
      </c>
    </row>
    <row r="25" spans="1:33" x14ac:dyDescent="0.2">
      <c r="A25" s="1" t="s">
        <v>39</v>
      </c>
      <c r="B25" s="2" t="s">
        <v>1</v>
      </c>
      <c r="C25" s="3">
        <v>70.2</v>
      </c>
      <c r="D25" s="4">
        <v>77.813999999999993</v>
      </c>
      <c r="E25" s="16">
        <v>0.88900000000000001</v>
      </c>
      <c r="F25" s="6">
        <v>41325.060182397203</v>
      </c>
      <c r="G25" s="7" t="s">
        <v>17</v>
      </c>
      <c r="H25" s="2" t="s">
        <v>12</v>
      </c>
      <c r="I25" s="8">
        <v>9.6309599609374992</v>
      </c>
      <c r="J25" s="9">
        <v>1.9533248701512601E-2</v>
      </c>
      <c r="K25" s="9">
        <v>1.14010612468228E-3</v>
      </c>
      <c r="L25" s="9">
        <v>7.3805355391213503E-4</v>
      </c>
      <c r="M25" s="9">
        <v>0.13832113831897999</v>
      </c>
      <c r="N25" s="9">
        <v>0</v>
      </c>
      <c r="O25" s="9">
        <v>6.4194202058894803</v>
      </c>
      <c r="P25" s="10">
        <v>6.5791527525885503</v>
      </c>
      <c r="Q25" s="9">
        <v>0.91614962473209205</v>
      </c>
      <c r="R25" s="9">
        <v>0.553406103946956</v>
      </c>
      <c r="S25" s="9">
        <v>0.40913052441465397</v>
      </c>
      <c r="T25" s="9">
        <v>0.27773801725239899</v>
      </c>
      <c r="U25" s="9">
        <v>0</v>
      </c>
      <c r="V25" s="9">
        <v>5.9397943743091304</v>
      </c>
      <c r="W25" s="11">
        <v>8.0962186446552291</v>
      </c>
      <c r="X25" s="9">
        <v>1.9533248701512601E-2</v>
      </c>
      <c r="Y25" s="9">
        <v>1.14010612468228E-3</v>
      </c>
      <c r="Z25" s="9">
        <v>6.0745376924694103E-2</v>
      </c>
      <c r="AA25" s="9">
        <v>0.43579148972918003</v>
      </c>
      <c r="AB25" s="9">
        <v>0</v>
      </c>
      <c r="AC25" s="12">
        <v>0.51721022148006901</v>
      </c>
      <c r="AD25" s="13">
        <v>-7.5790084231751598</v>
      </c>
      <c r="AE25" s="9">
        <v>5.1156938525626936</v>
      </c>
      <c r="AF25" s="9">
        <v>15.65363233055753</v>
      </c>
      <c r="AG25" s="17">
        <f t="shared" si="0"/>
        <v>71.349070237491674</v>
      </c>
    </row>
    <row r="26" spans="1:33" x14ac:dyDescent="0.2">
      <c r="A26" s="1" t="s">
        <v>40</v>
      </c>
      <c r="B26" s="2" t="s">
        <v>1</v>
      </c>
      <c r="C26" s="3">
        <v>80</v>
      </c>
      <c r="D26" s="4">
        <v>81.256100000000004</v>
      </c>
      <c r="E26" s="16">
        <v>0.92800000000000005</v>
      </c>
      <c r="F26" s="6">
        <v>42894.35426799058</v>
      </c>
      <c r="G26" s="7" t="s">
        <v>11</v>
      </c>
      <c r="H26" s="2" t="s">
        <v>12</v>
      </c>
      <c r="I26" s="8">
        <v>67.141703125000006</v>
      </c>
      <c r="J26" s="9">
        <v>0.39724859655707101</v>
      </c>
      <c r="K26" s="9">
        <v>0.10270446827270099</v>
      </c>
      <c r="L26" s="9">
        <v>0.103554521028872</v>
      </c>
      <c r="M26" s="9">
        <v>9.3811480821745105E-2</v>
      </c>
      <c r="N26" s="9">
        <v>0.12623625833096999</v>
      </c>
      <c r="O26" s="9">
        <v>1.8475456598067701</v>
      </c>
      <c r="P26" s="10">
        <v>2.6711009848181302</v>
      </c>
      <c r="Q26" s="9">
        <v>0.69864058164532405</v>
      </c>
      <c r="R26" s="9">
        <v>0.25519311018371998</v>
      </c>
      <c r="S26" s="9">
        <v>0.44334306130273299</v>
      </c>
      <c r="T26" s="9">
        <v>8.3561728311577904E-2</v>
      </c>
      <c r="U26" s="9">
        <v>0.12623625833096999</v>
      </c>
      <c r="V26" s="9">
        <v>2.5723490384655401</v>
      </c>
      <c r="W26" s="11">
        <v>4.17932377823987</v>
      </c>
      <c r="X26" s="9">
        <v>0.39724859655707101</v>
      </c>
      <c r="Y26" s="9">
        <v>0.10270446827270099</v>
      </c>
      <c r="Z26" s="9">
        <v>0.116913489984732</v>
      </c>
      <c r="AA26" s="9">
        <v>0.284563164630035</v>
      </c>
      <c r="AB26" s="9">
        <v>0.12623625833096999</v>
      </c>
      <c r="AC26" s="12">
        <v>1.0276659777755099</v>
      </c>
      <c r="AD26" s="13">
        <v>-3.1516578004643598</v>
      </c>
      <c r="AE26" s="9">
        <v>2.6407563701759749</v>
      </c>
      <c r="AF26" s="9">
        <v>4.0668114626957408</v>
      </c>
      <c r="AG26" s="17">
        <f t="shared" si="0"/>
        <v>138.21797577475013</v>
      </c>
    </row>
    <row r="27" spans="1:33" x14ac:dyDescent="0.2">
      <c r="A27" s="1" t="s">
        <v>41</v>
      </c>
      <c r="B27" s="2" t="s">
        <v>1</v>
      </c>
      <c r="C27" s="3">
        <v>76</v>
      </c>
      <c r="D27" s="4">
        <v>78.638999999999996</v>
      </c>
      <c r="E27" s="16">
        <v>0.92500000000000004</v>
      </c>
      <c r="F27" s="6">
        <v>54723.995401961503</v>
      </c>
      <c r="G27" s="7" t="s">
        <v>42</v>
      </c>
      <c r="H27" s="2" t="s">
        <v>12</v>
      </c>
      <c r="I27" s="8">
        <v>327.096</v>
      </c>
      <c r="J27" s="9">
        <v>1.2574972796325199</v>
      </c>
      <c r="K27" s="9">
        <v>0.25162070685124599</v>
      </c>
      <c r="L27" s="9">
        <v>0.91530507786683202</v>
      </c>
      <c r="M27" s="9">
        <v>9.8262233481240996E-2</v>
      </c>
      <c r="N27" s="9">
        <v>7.2305929949469799E-2</v>
      </c>
      <c r="O27" s="9">
        <v>5.22836359817431</v>
      </c>
      <c r="P27" s="10">
        <v>7.8233548259556196</v>
      </c>
      <c r="Q27" s="9">
        <v>0.93799164946407498</v>
      </c>
      <c r="R27" s="9">
        <v>0.28909238874654603</v>
      </c>
      <c r="S27" s="9">
        <v>0.92173806604994901</v>
      </c>
      <c r="T27" s="9">
        <v>0.12788975300921501</v>
      </c>
      <c r="U27" s="9">
        <v>7.2305929949469799E-2</v>
      </c>
      <c r="V27" s="9">
        <v>5.7733653376440301</v>
      </c>
      <c r="W27" s="11">
        <v>8.1223831248632798</v>
      </c>
      <c r="X27" s="9">
        <v>1.2574972796325099</v>
      </c>
      <c r="Y27" s="9">
        <v>0.25162070685124599</v>
      </c>
      <c r="Z27" s="9">
        <v>1.48439474272712</v>
      </c>
      <c r="AA27" s="9">
        <v>0.32008382590127998</v>
      </c>
      <c r="AB27" s="9">
        <v>7.2305929949469799E-2</v>
      </c>
      <c r="AC27" s="12">
        <v>3.3859024850616302</v>
      </c>
      <c r="AD27" s="13">
        <v>-4.7364806398016501</v>
      </c>
      <c r="AE27" s="9">
        <v>5.1322261964173377</v>
      </c>
      <c r="AF27" s="9">
        <v>2.3988827677993321</v>
      </c>
      <c r="AG27" s="17">
        <f t="shared" si="0"/>
        <v>71.119234817591675</v>
      </c>
    </row>
    <row r="28" spans="1:33" x14ac:dyDescent="0.2">
      <c r="A28" s="1" t="s">
        <v>43</v>
      </c>
      <c r="B28" s="2" t="s">
        <v>1</v>
      </c>
      <c r="C28" s="3">
        <v>74.5</v>
      </c>
      <c r="D28" s="4">
        <v>77.77</v>
      </c>
      <c r="E28" s="16">
        <v>0.81599999999999995</v>
      </c>
      <c r="F28" s="6">
        <v>14617.543247214457</v>
      </c>
      <c r="G28" s="7" t="s">
        <v>20</v>
      </c>
      <c r="H28" s="2" t="s">
        <v>7</v>
      </c>
      <c r="I28" s="8">
        <v>3.44928002929686</v>
      </c>
      <c r="J28" s="9">
        <v>0.98963972521195798</v>
      </c>
      <c r="K28" s="9">
        <v>4.2046666131813097</v>
      </c>
      <c r="L28" s="9">
        <v>3.1819536258069001</v>
      </c>
      <c r="M28" s="9">
        <v>0.18254087519067499</v>
      </c>
      <c r="N28" s="9">
        <v>9.9627801466276297E-2</v>
      </c>
      <c r="O28" s="9">
        <v>0.64356636961987601</v>
      </c>
      <c r="P28" s="10">
        <v>9.3019950104770004</v>
      </c>
      <c r="Q28" s="9">
        <v>0.14961007671645901</v>
      </c>
      <c r="R28" s="9">
        <v>6.6018928174690406E-2</v>
      </c>
      <c r="S28" s="9">
        <v>0.27690918371445999</v>
      </c>
      <c r="T28" s="9">
        <v>6.7655471370228107E-2</v>
      </c>
      <c r="U28" s="9">
        <v>9.9627801466276297E-2</v>
      </c>
      <c r="V28" s="9">
        <v>0.59879905626986296</v>
      </c>
      <c r="W28" s="11">
        <v>1.25862051771198</v>
      </c>
      <c r="X28" s="9">
        <v>0.98963972521195798</v>
      </c>
      <c r="Y28" s="9">
        <v>4.77702080239695</v>
      </c>
      <c r="Z28" s="9">
        <v>1.30696681481338</v>
      </c>
      <c r="AA28" s="9">
        <v>2.1474200065767701</v>
      </c>
      <c r="AB28" s="9">
        <v>9.9627801466276297E-2</v>
      </c>
      <c r="AC28" s="12">
        <v>9.3206751504653305</v>
      </c>
      <c r="AD28" s="19">
        <v>8.06205463275335</v>
      </c>
      <c r="AE28" s="9">
        <v>0.79527462482982858</v>
      </c>
      <c r="AF28" s="9">
        <v>0.13503533782626723</v>
      </c>
      <c r="AG28" s="14" t="str">
        <f t="shared" si="0"/>
        <v/>
      </c>
    </row>
    <row r="29" spans="1:33" x14ac:dyDescent="0.2">
      <c r="A29" s="1" t="s">
        <v>44</v>
      </c>
      <c r="B29" s="2" t="s">
        <v>1</v>
      </c>
      <c r="C29" s="3">
        <v>69.8</v>
      </c>
      <c r="D29" s="4">
        <v>71.572999999999993</v>
      </c>
      <c r="E29" s="16">
        <v>0.71699999999999997</v>
      </c>
      <c r="F29" s="6">
        <v>2408.6100554167856</v>
      </c>
      <c r="G29" s="7" t="s">
        <v>17</v>
      </c>
      <c r="H29" s="2" t="s">
        <v>9</v>
      </c>
      <c r="I29" s="8">
        <v>32.476199218749997</v>
      </c>
      <c r="J29" s="9">
        <v>0.36452548106456401</v>
      </c>
      <c r="K29" s="9">
        <v>0.164675768301137</v>
      </c>
      <c r="L29" s="9">
        <v>4.9239754887701501E-4</v>
      </c>
      <c r="M29" s="9">
        <v>5.8120856554621202E-3</v>
      </c>
      <c r="N29" s="9">
        <v>6.3724606809672499E-2</v>
      </c>
      <c r="O29" s="9">
        <v>1.18653412151283</v>
      </c>
      <c r="P29" s="10">
        <v>1.78576446089254</v>
      </c>
      <c r="Q29" s="9">
        <v>0.44658563018825798</v>
      </c>
      <c r="R29" s="9">
        <v>0.16446525357049999</v>
      </c>
      <c r="S29" s="9">
        <v>8.85336448560788E-2</v>
      </c>
      <c r="T29" s="9">
        <v>7.1247826848828202E-3</v>
      </c>
      <c r="U29" s="9">
        <v>6.3724606809672499E-2</v>
      </c>
      <c r="V29" s="9">
        <v>1.2679329341147201</v>
      </c>
      <c r="W29" s="11">
        <v>2.0383668522241098</v>
      </c>
      <c r="X29" s="9">
        <v>0.36452548106456401</v>
      </c>
      <c r="Y29" s="9">
        <v>0.164675768301137</v>
      </c>
      <c r="Z29" s="9">
        <v>5.6411739102843701E-2</v>
      </c>
      <c r="AA29" s="9">
        <v>9.3927914343504906E-3</v>
      </c>
      <c r="AB29" s="9">
        <v>6.3724606809672499E-2</v>
      </c>
      <c r="AC29" s="12">
        <v>0.65873038671256801</v>
      </c>
      <c r="AD29" s="13">
        <v>-1.3796364655115418</v>
      </c>
      <c r="AE29" s="9">
        <v>1.2879667944830435</v>
      </c>
      <c r="AF29" s="9">
        <v>3.0943871625486978</v>
      </c>
      <c r="AG29" s="17">
        <f t="shared" si="0"/>
        <v>283.39239921670617</v>
      </c>
    </row>
    <row r="30" spans="1:33" x14ac:dyDescent="0.2">
      <c r="A30" s="1" t="s">
        <v>45</v>
      </c>
      <c r="B30" s="2" t="s">
        <v>46</v>
      </c>
      <c r="C30" s="3">
        <v>60.5</v>
      </c>
      <c r="D30" s="4">
        <v>70.322999999999993</v>
      </c>
      <c r="E30" s="16">
        <v>0.60299999999999998</v>
      </c>
      <c r="F30" s="6">
        <v>2864.828553309515</v>
      </c>
      <c r="G30" s="7" t="s">
        <v>14</v>
      </c>
      <c r="H30" s="2" t="s">
        <v>9</v>
      </c>
      <c r="I30" s="8">
        <v>0.29267999267578199</v>
      </c>
      <c r="J30" s="20"/>
      <c r="K30" s="20"/>
      <c r="L30" s="20"/>
      <c r="M30" s="20"/>
      <c r="N30" s="20"/>
      <c r="O30" s="20"/>
      <c r="P30" s="21"/>
      <c r="Q30" s="20"/>
      <c r="R30" s="20"/>
      <c r="S30" s="20"/>
      <c r="T30" s="20"/>
      <c r="U30" s="20"/>
      <c r="V30" s="20"/>
      <c r="W30" s="22"/>
      <c r="X30" s="20"/>
      <c r="Y30" s="20"/>
      <c r="Z30" s="20"/>
      <c r="AA30" s="20"/>
      <c r="AB30" s="20"/>
      <c r="AC30" s="23"/>
      <c r="AD30" s="24"/>
      <c r="AE30" s="25"/>
      <c r="AF30" s="25"/>
      <c r="AG30" s="26"/>
    </row>
    <row r="31" spans="1:33" x14ac:dyDescent="0.2">
      <c r="A31" s="1" t="s">
        <v>47</v>
      </c>
      <c r="B31" s="2" t="s">
        <v>1</v>
      </c>
      <c r="C31" s="3">
        <v>59.3</v>
      </c>
      <c r="D31" s="4">
        <v>72.128</v>
      </c>
      <c r="E31" s="16">
        <v>0.73299999999999998</v>
      </c>
      <c r="F31" s="6" t="s">
        <v>3</v>
      </c>
      <c r="G31" s="7" t="s">
        <v>20</v>
      </c>
      <c r="H31" s="2" t="s">
        <v>7</v>
      </c>
      <c r="I31" s="8">
        <v>28.887099609374999</v>
      </c>
      <c r="J31" s="9">
        <v>0.114158454304776</v>
      </c>
      <c r="K31" s="9">
        <v>0.59264438453806101</v>
      </c>
      <c r="L31" s="9">
        <v>8.7835907175553299E-2</v>
      </c>
      <c r="M31" s="9">
        <v>7.9451499760942706E-2</v>
      </c>
      <c r="N31" s="9">
        <v>2.9451532859156301E-2</v>
      </c>
      <c r="O31" s="9">
        <v>1.3861022878942799</v>
      </c>
      <c r="P31" s="10">
        <v>2.28964406653277</v>
      </c>
      <c r="Q31" s="9">
        <v>0.28513850652703199</v>
      </c>
      <c r="R31" s="9">
        <v>0.62175422655341195</v>
      </c>
      <c r="S31" s="9">
        <v>8.8229741786993596E-2</v>
      </c>
      <c r="T31" s="9">
        <v>7.6397733684798394E-2</v>
      </c>
      <c r="U31" s="9">
        <v>2.9451532859156301E-2</v>
      </c>
      <c r="V31" s="9">
        <v>1.29064062318338</v>
      </c>
      <c r="W31" s="11">
        <v>2.3916123645947698</v>
      </c>
      <c r="X31" s="9">
        <v>0.114158454304776</v>
      </c>
      <c r="Y31" s="9">
        <v>0.59264438453806101</v>
      </c>
      <c r="Z31" s="9">
        <v>1.7734748568074501</v>
      </c>
      <c r="AA31" s="9">
        <v>0.25073589955766801</v>
      </c>
      <c r="AB31" s="9">
        <v>2.9451532859156301E-2</v>
      </c>
      <c r="AC31" s="12">
        <v>2.7604651280671102</v>
      </c>
      <c r="AD31" s="19">
        <v>0.36885276347234042</v>
      </c>
      <c r="AE31" s="27">
        <v>1.5111692517527604</v>
      </c>
      <c r="AF31" s="27">
        <v>0.86638021262358322</v>
      </c>
      <c r="AG31" s="28">
        <f t="shared" ref="AG31:AG33" si="1">IF(AE31&lt;1,"",$AH$5+(365/AE31))</f>
        <v>241.53482449212578</v>
      </c>
    </row>
    <row r="32" spans="1:33" x14ac:dyDescent="0.2">
      <c r="A32" s="1" t="s">
        <v>48</v>
      </c>
      <c r="B32" s="2" t="s">
        <v>1</v>
      </c>
      <c r="C32" s="3">
        <v>72.8</v>
      </c>
      <c r="D32" s="4">
        <v>75.316999999999993</v>
      </c>
      <c r="E32" s="16">
        <v>0.7</v>
      </c>
      <c r="F32" s="6">
        <v>1967.638624327549</v>
      </c>
      <c r="G32" s="7" t="s">
        <v>14</v>
      </c>
      <c r="H32" s="2" t="s">
        <v>9</v>
      </c>
      <c r="I32" s="8">
        <v>95.546000000000006</v>
      </c>
      <c r="J32" s="9">
        <v>0.52503470575798705</v>
      </c>
      <c r="K32" s="9">
        <v>3.57402395812837E-3</v>
      </c>
      <c r="L32" s="9">
        <v>0.35011628310188603</v>
      </c>
      <c r="M32" s="9">
        <v>9.2554996103157594E-2</v>
      </c>
      <c r="N32" s="9">
        <v>9.1484041299847496E-2</v>
      </c>
      <c r="O32" s="9">
        <v>0.95697405838400795</v>
      </c>
      <c r="P32" s="10">
        <v>2.0197381086050101</v>
      </c>
      <c r="Q32" s="9">
        <v>0.51352521116564798</v>
      </c>
      <c r="R32" s="9">
        <v>2.7343547756348899E-2</v>
      </c>
      <c r="S32" s="9">
        <v>0.42515543531637201</v>
      </c>
      <c r="T32" s="9">
        <v>7.4244515241700199E-2</v>
      </c>
      <c r="U32" s="9">
        <v>9.1484041299847496E-2</v>
      </c>
      <c r="V32" s="9">
        <v>1.14039291870685</v>
      </c>
      <c r="W32" s="11">
        <v>2.2721456694867599</v>
      </c>
      <c r="X32" s="9">
        <v>0.52503470575798705</v>
      </c>
      <c r="Y32" s="9">
        <v>9.0053323623754695E-3</v>
      </c>
      <c r="Z32" s="9">
        <v>0.159298644955257</v>
      </c>
      <c r="AA32" s="9">
        <v>0.15351088516859901</v>
      </c>
      <c r="AB32" s="9">
        <v>9.1484041299847496E-2</v>
      </c>
      <c r="AC32" s="12">
        <v>0.93833360954406597</v>
      </c>
      <c r="AD32" s="13">
        <v>-1.3338120599426939</v>
      </c>
      <c r="AE32" s="27">
        <v>1.4356827728699939</v>
      </c>
      <c r="AF32" s="27">
        <v>2.4214689172124935</v>
      </c>
      <c r="AG32" s="28">
        <f t="shared" si="1"/>
        <v>254.23443597525986</v>
      </c>
    </row>
    <row r="33" spans="1:33" x14ac:dyDescent="0.2">
      <c r="A33" s="1" t="s">
        <v>49</v>
      </c>
      <c r="B33" s="2" t="s">
        <v>1</v>
      </c>
      <c r="C33" s="3">
        <v>52.9</v>
      </c>
      <c r="D33" s="4">
        <v>66.096000000000004</v>
      </c>
      <c r="E33" s="16">
        <v>0.46800000000000003</v>
      </c>
      <c r="F33" s="6">
        <v>632.90958866406822</v>
      </c>
      <c r="G33" s="7" t="s">
        <v>17</v>
      </c>
      <c r="H33" s="2" t="s">
        <v>9</v>
      </c>
      <c r="I33" s="8">
        <v>28.498699218749898</v>
      </c>
      <c r="J33" s="9">
        <v>4.1438868404269802E-2</v>
      </c>
      <c r="K33" s="9">
        <v>0.10123471339368199</v>
      </c>
      <c r="L33" s="9">
        <v>7.6590020190493496E-3</v>
      </c>
      <c r="M33" s="9">
        <v>4.8568256395176201E-2</v>
      </c>
      <c r="N33" s="9">
        <v>2.4911484985337799E-2</v>
      </c>
      <c r="O33" s="9">
        <v>0.10924980386271201</v>
      </c>
      <c r="P33" s="10">
        <v>0.33306212906022697</v>
      </c>
      <c r="Q33" s="9">
        <v>0.16804114346363599</v>
      </c>
      <c r="R33" s="9">
        <v>0.10865166860115</v>
      </c>
      <c r="S33" s="9">
        <v>2.0444659417054301E-2</v>
      </c>
      <c r="T33" s="9">
        <v>3.3403326898751001E-2</v>
      </c>
      <c r="U33" s="9">
        <v>2.4911484985337799E-2</v>
      </c>
      <c r="V33" s="9">
        <v>0.153089424637954</v>
      </c>
      <c r="W33" s="11">
        <v>0.50854170800388299</v>
      </c>
      <c r="X33" s="27">
        <v>4.1438868404269802E-2</v>
      </c>
      <c r="Y33" s="27">
        <v>0.10123471339368199</v>
      </c>
      <c r="Z33" s="27">
        <v>3.5518943813929497E-2</v>
      </c>
      <c r="AA33" s="27">
        <v>0.171547310135923</v>
      </c>
      <c r="AB33" s="27">
        <v>2.4911484985337799E-2</v>
      </c>
      <c r="AC33" s="12">
        <v>0.374651320733143</v>
      </c>
      <c r="AD33" s="13">
        <v>-0.13389038727073999</v>
      </c>
      <c r="AE33" s="27">
        <v>0.32132824020564493</v>
      </c>
      <c r="AF33" s="27">
        <v>1.3573733225035327</v>
      </c>
      <c r="AG33" s="26" t="str">
        <f t="shared" si="1"/>
        <v/>
      </c>
    </row>
    <row r="34" spans="1:33" x14ac:dyDescent="0.2">
      <c r="A34" s="1" t="s">
        <v>50</v>
      </c>
      <c r="B34" s="2" t="s">
        <v>1</v>
      </c>
      <c r="C34" s="3">
        <v>53.4</v>
      </c>
      <c r="D34" s="15" t="s">
        <v>2</v>
      </c>
      <c r="E34" s="16">
        <v>0.58199999999999996</v>
      </c>
      <c r="F34" s="6">
        <v>1678.1814641262492</v>
      </c>
      <c r="G34" s="7" t="s">
        <v>4</v>
      </c>
      <c r="H34" s="2" t="s">
        <v>9</v>
      </c>
      <c r="I34" s="8">
        <v>17.3516992187499</v>
      </c>
      <c r="J34" s="9">
        <v>0.22054557808757499</v>
      </c>
      <c r="K34" s="9">
        <v>0.13064325759145301</v>
      </c>
      <c r="L34" s="9">
        <v>0.60830079866846698</v>
      </c>
      <c r="M34" s="9">
        <v>8.6659324156334698E-3</v>
      </c>
      <c r="N34" s="9">
        <v>4.3482953662260501E-2</v>
      </c>
      <c r="O34" s="9">
        <v>0.157293988844322</v>
      </c>
      <c r="P34" s="10">
        <v>1.16893250926971</v>
      </c>
      <c r="Q34" s="27">
        <v>0.20705703427885799</v>
      </c>
      <c r="R34" s="27">
        <v>0.130973906355631</v>
      </c>
      <c r="S34" s="27">
        <v>0.61515517209063197</v>
      </c>
      <c r="T34" s="27">
        <v>5.1749502634542401E-2</v>
      </c>
      <c r="U34" s="27">
        <v>4.3482953662260501E-2</v>
      </c>
      <c r="V34" s="27">
        <v>0.235610439023934</v>
      </c>
      <c r="W34" s="11">
        <v>1.2840290080458601</v>
      </c>
      <c r="X34" s="27">
        <v>0.22054557808757499</v>
      </c>
      <c r="Y34" s="27">
        <v>0.76021489199771797</v>
      </c>
      <c r="Z34" s="27">
        <v>0.71984451324775101</v>
      </c>
      <c r="AA34" s="27">
        <v>1.93675737405627E-2</v>
      </c>
      <c r="AB34" s="27">
        <v>4.3482953662260501E-2</v>
      </c>
      <c r="AC34" s="12">
        <v>1.76345551073587</v>
      </c>
      <c r="AD34" s="19">
        <v>0.47942650269000997</v>
      </c>
      <c r="AE34" s="27">
        <v>0.81132928732214371</v>
      </c>
      <c r="AF34" s="27">
        <v>0.72813235164069967</v>
      </c>
      <c r="AG34" s="26"/>
    </row>
    <row r="35" spans="1:33" ht="17" thickBot="1" x14ac:dyDescent="0.25">
      <c r="A35" s="29" t="s">
        <v>51</v>
      </c>
      <c r="B35" s="30" t="s">
        <v>1</v>
      </c>
      <c r="C35" s="31">
        <v>58.7</v>
      </c>
      <c r="D35" s="32" t="s">
        <v>2</v>
      </c>
      <c r="E35" s="33">
        <v>0.56899999999999995</v>
      </c>
      <c r="F35" s="34">
        <v>1305.8010537606497</v>
      </c>
      <c r="G35" s="35" t="s">
        <v>4</v>
      </c>
      <c r="H35" s="30" t="s">
        <v>5</v>
      </c>
      <c r="I35" s="36">
        <v>14.4387998046875</v>
      </c>
      <c r="J35" s="37">
        <v>0.152608386369051</v>
      </c>
      <c r="K35" s="37">
        <v>0.301816497692032</v>
      </c>
      <c r="L35" s="37">
        <v>0.272790171192138</v>
      </c>
      <c r="M35" s="37">
        <v>1.7659736805847601E-3</v>
      </c>
      <c r="N35" s="37">
        <v>2.3204515166135201E-2</v>
      </c>
      <c r="O35" s="37">
        <v>0.29360379340168702</v>
      </c>
      <c r="P35" s="38">
        <v>1.0457893375016301</v>
      </c>
      <c r="Q35" s="39">
        <v>0.19339808663354999</v>
      </c>
      <c r="R35" s="39">
        <v>0.30334937592752698</v>
      </c>
      <c r="S35" s="39">
        <v>0.28517649664774303</v>
      </c>
      <c r="T35" s="39">
        <v>7.2242083384848098E-3</v>
      </c>
      <c r="U35" s="39">
        <v>2.3204515166135201E-2</v>
      </c>
      <c r="V35" s="39">
        <v>0.40333563260815197</v>
      </c>
      <c r="W35" s="40">
        <v>1.2156883153215901</v>
      </c>
      <c r="X35" s="39">
        <v>0.152608386369051</v>
      </c>
      <c r="Y35" s="39">
        <v>0.301816497692032</v>
      </c>
      <c r="Z35" s="39">
        <v>0.13427996265249401</v>
      </c>
      <c r="AA35" s="39">
        <v>9.8703367624893307E-3</v>
      </c>
      <c r="AB35" s="39">
        <v>2.3204515166135201E-2</v>
      </c>
      <c r="AC35" s="41">
        <v>0.62177969864220195</v>
      </c>
      <c r="AD35" s="42">
        <v>-0.5939086166793881</v>
      </c>
      <c r="AE35" s="39">
        <v>0.76814739253966757</v>
      </c>
      <c r="AF35" s="39">
        <v>1.9551753104456824</v>
      </c>
      <c r="AG35" s="43"/>
    </row>
  </sheetData>
  <hyperlinks>
    <hyperlink ref="G1" location="null!E9:E15" display="Region" xr:uid="{C17B57F7-64BC-E846-8B7B-050AC8CA12EF}"/>
    <hyperlink ref="H1" location="null!F16:G19" display="Income Group" xr:uid="{D132F943-DBA7-DA47-9FC9-4E954FCF00A1}"/>
    <hyperlink ref="I1" location="null!G8:G15" display="Population (millions)" xr:uid="{CFA40DD7-9160-9D48-8E87-9A161F5B3BF3}"/>
    <hyperlink ref="AE1" location="null!A218" display="Number of Earths required" xr:uid="{63B10382-1462-804F-A094-6832FC2B7724}"/>
    <hyperlink ref="AF1" location="null!A219" display="Number of Countries required" xr:uid="{C1356866-59F4-3D42-BC77-07032F84F8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ORNELLA VOLLE</dc:creator>
  <cp:lastModifiedBy>ORNELLA VOLLE</cp:lastModifiedBy>
  <dcterms:created xsi:type="dcterms:W3CDTF">2025-11-20T12:22:06Z</dcterms:created>
  <dcterms:modified xsi:type="dcterms:W3CDTF">2025-11-20T13:16:11Z</dcterms:modified>
</cp:coreProperties>
</file>